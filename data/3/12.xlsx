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i\Desktop\"/>
    </mc:Choice>
  </mc:AlternateContent>
  <xr:revisionPtr revIDLastSave="0" documentId="8_{C01CAEB7-F4A7-49EE-9697-E0C407C842DE}" xr6:coauthVersionLast="47" xr6:coauthVersionMax="47" xr10:uidLastSave="{00000000-0000-0000-0000-000000000000}"/>
  <bookViews>
    <workbookView xWindow="-120" yWindow="-120" windowWidth="29040" windowHeight="15720" xr2:uid="{F4580998-57AF-4A45-A6F5-626D97110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F3" i="1"/>
  <c r="AD3" i="1"/>
  <c r="AE3" i="1"/>
  <c r="E4" i="1"/>
  <c r="F4" i="1"/>
  <c r="AD4" i="1"/>
  <c r="AE4" i="1"/>
  <c r="E5" i="1"/>
  <c r="F5" i="1"/>
  <c r="AD5" i="1"/>
  <c r="AE5" i="1"/>
  <c r="E6" i="1"/>
  <c r="F6" i="1"/>
  <c r="AD6" i="1"/>
  <c r="AE6" i="1"/>
  <c r="E7" i="1"/>
  <c r="F7" i="1"/>
  <c r="AD7" i="1"/>
  <c r="AE7" i="1"/>
  <c r="E8" i="1"/>
  <c r="F8" i="1"/>
  <c r="AD8" i="1"/>
  <c r="AE8" i="1"/>
  <c r="E9" i="1"/>
  <c r="F9" i="1"/>
  <c r="AD9" i="1"/>
  <c r="AE9" i="1"/>
  <c r="E10" i="1"/>
  <c r="F10" i="1"/>
  <c r="K10" i="1"/>
  <c r="L10" i="1"/>
  <c r="AD10" i="1"/>
  <c r="AE10" i="1"/>
  <c r="AJ10" i="1"/>
  <c r="AK10" i="1"/>
  <c r="E11" i="1"/>
  <c r="F11" i="1"/>
  <c r="K11" i="1"/>
  <c r="L11" i="1"/>
  <c r="AD11" i="1"/>
  <c r="AE11" i="1"/>
  <c r="AJ11" i="1"/>
  <c r="AK11" i="1"/>
  <c r="E12" i="1"/>
  <c r="F12" i="1"/>
  <c r="K12" i="1"/>
  <c r="L12" i="1"/>
  <c r="AD12" i="1"/>
  <c r="AE12" i="1"/>
  <c r="AJ12" i="1"/>
  <c r="AK12" i="1"/>
  <c r="E13" i="1"/>
  <c r="F13" i="1"/>
  <c r="K13" i="1"/>
  <c r="L13" i="1"/>
  <c r="AD13" i="1"/>
  <c r="AE13" i="1"/>
  <c r="AJ13" i="1"/>
  <c r="AK13" i="1"/>
  <c r="E14" i="1"/>
  <c r="F14" i="1"/>
  <c r="K14" i="1"/>
  <c r="L14" i="1"/>
  <c r="AD14" i="1"/>
  <c r="AE14" i="1"/>
  <c r="AJ14" i="1"/>
  <c r="AK14" i="1"/>
  <c r="E15" i="1"/>
  <c r="F15" i="1"/>
  <c r="K15" i="1"/>
  <c r="L15" i="1"/>
  <c r="AD15" i="1"/>
  <c r="AE15" i="1"/>
  <c r="AJ15" i="1"/>
  <c r="AK15" i="1"/>
  <c r="E16" i="1"/>
  <c r="F16" i="1"/>
  <c r="K16" i="1"/>
  <c r="L16" i="1"/>
  <c r="AD16" i="1"/>
  <c r="AE16" i="1"/>
  <c r="AJ16" i="1"/>
  <c r="AK16" i="1"/>
  <c r="E17" i="1"/>
  <c r="F17" i="1"/>
  <c r="K17" i="1"/>
  <c r="L17" i="1"/>
  <c r="AD17" i="1"/>
  <c r="AE17" i="1"/>
  <c r="AJ17" i="1"/>
  <c r="AK17" i="1"/>
  <c r="E18" i="1"/>
  <c r="F18" i="1"/>
  <c r="K18" i="1"/>
  <c r="L18" i="1"/>
  <c r="AD18" i="1"/>
  <c r="AE18" i="1"/>
  <c r="AJ18" i="1"/>
  <c r="AK18" i="1"/>
  <c r="E19" i="1"/>
  <c r="F19" i="1"/>
  <c r="K19" i="1"/>
  <c r="L19" i="1"/>
  <c r="AD19" i="1"/>
  <c r="AE19" i="1"/>
  <c r="AJ19" i="1"/>
  <c r="AK19" i="1"/>
  <c r="E20" i="1"/>
  <c r="F20" i="1"/>
  <c r="K20" i="1"/>
  <c r="L20" i="1"/>
  <c r="AD20" i="1"/>
  <c r="AE20" i="1"/>
  <c r="AJ20" i="1"/>
  <c r="AK20" i="1"/>
  <c r="E21" i="1"/>
  <c r="F21" i="1"/>
  <c r="K21" i="1"/>
  <c r="L21" i="1"/>
  <c r="AD21" i="1"/>
  <c r="AE21" i="1"/>
  <c r="AJ21" i="1"/>
  <c r="AK21" i="1"/>
  <c r="E22" i="1"/>
  <c r="F22" i="1"/>
  <c r="K22" i="1"/>
  <c r="L22" i="1"/>
  <c r="AD22" i="1"/>
  <c r="AE22" i="1"/>
  <c r="AJ22" i="1"/>
  <c r="AK22" i="1"/>
  <c r="E23" i="1"/>
  <c r="F23" i="1"/>
  <c r="K23" i="1"/>
  <c r="L23" i="1"/>
  <c r="AD23" i="1"/>
  <c r="AE23" i="1"/>
  <c r="AJ23" i="1"/>
  <c r="AK23" i="1"/>
  <c r="E24" i="1"/>
  <c r="F24" i="1"/>
  <c r="K24" i="1"/>
  <c r="L24" i="1"/>
  <c r="AD24" i="1"/>
  <c r="AE24" i="1"/>
  <c r="AJ24" i="1"/>
  <c r="AK24" i="1"/>
  <c r="E25" i="1"/>
  <c r="F25" i="1"/>
  <c r="K25" i="1"/>
  <c r="L25" i="1"/>
  <c r="Q25" i="1"/>
  <c r="R25" i="1"/>
  <c r="AD25" i="1"/>
  <c r="AE25" i="1"/>
  <c r="AJ25" i="1"/>
  <c r="AK25" i="1"/>
  <c r="AP25" i="1"/>
  <c r="AQ25" i="1"/>
  <c r="E26" i="1"/>
  <c r="F26" i="1"/>
  <c r="K26" i="1"/>
  <c r="L26" i="1"/>
  <c r="Q26" i="1"/>
  <c r="R26" i="1"/>
  <c r="AD26" i="1"/>
  <c r="AE26" i="1"/>
  <c r="AJ26" i="1"/>
  <c r="AK26" i="1"/>
  <c r="AP26" i="1"/>
  <c r="AQ26" i="1"/>
  <c r="E27" i="1"/>
  <c r="F27" i="1"/>
  <c r="K27" i="1"/>
  <c r="L27" i="1"/>
  <c r="Q27" i="1"/>
  <c r="R27" i="1"/>
  <c r="AD27" i="1"/>
  <c r="AE27" i="1"/>
  <c r="AJ27" i="1"/>
  <c r="AK27" i="1"/>
  <c r="AP27" i="1"/>
  <c r="AQ27" i="1"/>
  <c r="E28" i="1"/>
  <c r="F28" i="1"/>
  <c r="K28" i="1"/>
  <c r="L28" i="1"/>
  <c r="Q28" i="1"/>
  <c r="R28" i="1"/>
  <c r="AD28" i="1"/>
  <c r="AE28" i="1"/>
  <c r="AJ28" i="1"/>
  <c r="AK28" i="1"/>
  <c r="AP28" i="1"/>
  <c r="AQ28" i="1"/>
  <c r="E29" i="1"/>
  <c r="F29" i="1"/>
  <c r="K29" i="1"/>
  <c r="L29" i="1"/>
  <c r="Q29" i="1"/>
  <c r="R29" i="1"/>
  <c r="AD29" i="1"/>
  <c r="AE29" i="1"/>
  <c r="AJ29" i="1"/>
  <c r="AK29" i="1"/>
  <c r="AP29" i="1"/>
  <c r="AQ29" i="1"/>
  <c r="E30" i="1"/>
  <c r="F30" i="1"/>
  <c r="K30" i="1"/>
  <c r="L30" i="1"/>
  <c r="Q30" i="1"/>
  <c r="R30" i="1"/>
  <c r="AD30" i="1"/>
  <c r="AE30" i="1"/>
  <c r="AJ30" i="1"/>
  <c r="AK30" i="1"/>
  <c r="AP30" i="1"/>
  <c r="AQ30" i="1"/>
  <c r="E31" i="1"/>
  <c r="F31" i="1"/>
  <c r="K31" i="1"/>
  <c r="L31" i="1"/>
  <c r="Q31" i="1"/>
  <c r="R31" i="1"/>
  <c r="AD31" i="1"/>
  <c r="AE31" i="1"/>
  <c r="AJ31" i="1"/>
  <c r="AK31" i="1"/>
  <c r="AP31" i="1"/>
  <c r="AQ31" i="1"/>
  <c r="E32" i="1"/>
  <c r="F32" i="1"/>
  <c r="K32" i="1"/>
  <c r="L32" i="1"/>
  <c r="Q32" i="1"/>
  <c r="R32" i="1"/>
  <c r="AD32" i="1"/>
  <c r="AE32" i="1"/>
  <c r="AJ32" i="1"/>
  <c r="AK32" i="1"/>
  <c r="AP32" i="1"/>
  <c r="AQ32" i="1"/>
  <c r="E33" i="1"/>
  <c r="F33" i="1"/>
  <c r="K33" i="1"/>
  <c r="L33" i="1"/>
  <c r="Q33" i="1"/>
  <c r="R33" i="1"/>
  <c r="AD33" i="1"/>
  <c r="AE33" i="1"/>
  <c r="AJ33" i="1"/>
  <c r="AK33" i="1"/>
  <c r="AP33" i="1"/>
  <c r="AQ33" i="1"/>
  <c r="E34" i="1"/>
  <c r="F34" i="1"/>
  <c r="K34" i="1"/>
  <c r="L34" i="1"/>
  <c r="Q34" i="1"/>
  <c r="R34" i="1"/>
  <c r="AD34" i="1"/>
  <c r="AE34" i="1"/>
  <c r="AJ34" i="1"/>
  <c r="AK34" i="1"/>
  <c r="AP34" i="1"/>
  <c r="AQ34" i="1"/>
  <c r="E35" i="1"/>
  <c r="F35" i="1"/>
  <c r="K35" i="1"/>
  <c r="L35" i="1"/>
  <c r="Q35" i="1"/>
  <c r="R35" i="1"/>
  <c r="AD35" i="1"/>
  <c r="AE35" i="1"/>
  <c r="AJ35" i="1"/>
  <c r="AK35" i="1"/>
  <c r="AP35" i="1"/>
  <c r="AQ35" i="1"/>
  <c r="E36" i="1"/>
  <c r="F36" i="1"/>
  <c r="K36" i="1"/>
  <c r="L36" i="1"/>
  <c r="Q36" i="1"/>
  <c r="R36" i="1"/>
  <c r="AD36" i="1"/>
  <c r="AE36" i="1"/>
  <c r="AJ36" i="1"/>
  <c r="AK36" i="1"/>
  <c r="AP36" i="1"/>
  <c r="AQ36" i="1"/>
  <c r="E37" i="1"/>
  <c r="F37" i="1"/>
  <c r="K37" i="1"/>
  <c r="L37" i="1"/>
  <c r="Q37" i="1"/>
  <c r="R37" i="1"/>
  <c r="AD37" i="1"/>
  <c r="AE37" i="1"/>
  <c r="AJ37" i="1"/>
  <c r="AK37" i="1"/>
  <c r="AP37" i="1"/>
  <c r="AQ37" i="1"/>
  <c r="E38" i="1"/>
  <c r="F38" i="1"/>
  <c r="K38" i="1"/>
  <c r="L38" i="1"/>
  <c r="Q38" i="1"/>
  <c r="R38" i="1"/>
  <c r="AD38" i="1"/>
  <c r="AE38" i="1"/>
  <c r="AJ38" i="1"/>
  <c r="AK38" i="1"/>
  <c r="AP38" i="1"/>
  <c r="AQ38" i="1"/>
  <c r="E39" i="1"/>
  <c r="F39" i="1"/>
  <c r="K39" i="1"/>
  <c r="L39" i="1"/>
  <c r="Q39" i="1"/>
  <c r="R39" i="1"/>
  <c r="AD39" i="1"/>
  <c r="AE39" i="1"/>
  <c r="AJ39" i="1"/>
  <c r="AK39" i="1"/>
  <c r="AP39" i="1"/>
  <c r="AQ39" i="1"/>
  <c r="E40" i="1"/>
  <c r="F40" i="1"/>
  <c r="K40" i="1"/>
  <c r="L40" i="1"/>
  <c r="Q40" i="1"/>
  <c r="R40" i="1"/>
  <c r="AD40" i="1"/>
  <c r="AE40" i="1"/>
  <c r="AJ40" i="1"/>
  <c r="AK40" i="1"/>
  <c r="AP40" i="1"/>
  <c r="AQ40" i="1"/>
  <c r="E41" i="1"/>
  <c r="F41" i="1"/>
  <c r="K41" i="1"/>
  <c r="L41" i="1"/>
  <c r="Q41" i="1"/>
  <c r="R41" i="1"/>
  <c r="AD41" i="1"/>
  <c r="AE41" i="1"/>
  <c r="AJ41" i="1"/>
  <c r="AK41" i="1"/>
  <c r="AP41" i="1"/>
  <c r="AQ41" i="1"/>
</calcChain>
</file>

<file path=xl/sharedStrings.xml><?xml version="1.0" encoding="utf-8"?>
<sst xmlns="http://schemas.openxmlformats.org/spreadsheetml/2006/main" count="113" uniqueCount="46">
  <si>
    <t>10degree</t>
  </si>
  <si>
    <t>18degree</t>
  </si>
  <si>
    <t>Value1</t>
  </si>
  <si>
    <t>Value2</t>
  </si>
  <si>
    <t>Value3</t>
  </si>
  <si>
    <t>Mean</t>
  </si>
  <si>
    <t>SD</t>
  </si>
  <si>
    <t>D1</t>
  </si>
  <si>
    <t>D6</t>
  </si>
  <si>
    <t>D7</t>
  </si>
  <si>
    <t>L43</t>
  </si>
  <si>
    <t>L1091</t>
  </si>
  <si>
    <t>L1253</t>
  </si>
  <si>
    <t>L2182</t>
  </si>
  <si>
    <t>D1-D6</t>
  </si>
  <si>
    <t>D1-D7</t>
  </si>
  <si>
    <t>D6-D7</t>
  </si>
  <si>
    <t>D1-L43</t>
  </si>
  <si>
    <t>D1-L1091</t>
  </si>
  <si>
    <t>D1-L1253</t>
  </si>
  <si>
    <t>D1-L2182</t>
  </si>
  <si>
    <t>D6-L43</t>
  </si>
  <si>
    <t>D6-L1091</t>
  </si>
  <si>
    <t>D6-L1253</t>
  </si>
  <si>
    <t>D6-L2182</t>
  </si>
  <si>
    <t>D7-L43</t>
  </si>
  <si>
    <t>D7-L1091</t>
  </si>
  <si>
    <t>D7-L1253</t>
  </si>
  <si>
    <t>D7-L2182</t>
  </si>
  <si>
    <t>D1-D6-D7</t>
  </si>
  <si>
    <t>D1-D6-L43</t>
  </si>
  <si>
    <t>D1-D6-L1091</t>
  </si>
  <si>
    <t>D1-D6-L1253</t>
  </si>
  <si>
    <t>D1-D6-L2182</t>
  </si>
  <si>
    <t>D1-D7-L43</t>
  </si>
  <si>
    <t>D1-D7-L1091</t>
  </si>
  <si>
    <t>D1-D7-L1253</t>
  </si>
  <si>
    <t>D1-D7-L2182</t>
  </si>
  <si>
    <t>D6-D7-L43</t>
  </si>
  <si>
    <t>D6-D7-L1091</t>
  </si>
  <si>
    <t>D6-D7-L1253</t>
  </si>
  <si>
    <t>D6-D7-L2182</t>
  </si>
  <si>
    <t>D1-D6-D7-L43</t>
  </si>
  <si>
    <t>D1-D6-D7-L1091</t>
  </si>
  <si>
    <t>D1-D6-D7-L1253</t>
  </si>
  <si>
    <t>D1-D6-D7-L2182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</si>
</sst>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2"/>
      <color indexed="8"/>
      <name val="Calibri"/>
      <charset val="134"/>
    </font>
    <font>
      <b/>
      <sz val="12"/>
      <color indexed="8"/>
      <name val="Calibri"/>
      <charset val="134"/>
    </font>
    <font>
      <b/>
      <sz val="12"/>
      <color indexed="8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2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FE8C-F702-4C89-8E71-CCB20529E6D6}">
  <dimension ref="A1:AU48"/>
  <sheetViews>
    <sheetView tabSelected="1" workbookViewId="0">
      <selection sqref="A1:AU48"/>
    </sheetView>
  </sheetViews>
  <sheetFormatPr defaultRowHeight="15"/>
  <sheetData>
    <row r="1" spans="1:47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s">
        <v>1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/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/>
      <c r="T2" s="1" t="s">
        <v>2</v>
      </c>
      <c r="U2" s="1" t="s">
        <v>3</v>
      </c>
      <c r="V2" s="1" t="s">
        <v>4</v>
      </c>
      <c r="W2" s="1"/>
      <c r="X2" s="1"/>
      <c r="Y2" s="1"/>
      <c r="Z2" s="1"/>
      <c r="AA2" s="1" t="s">
        <v>2</v>
      </c>
      <c r="AB2" s="1" t="s">
        <v>3</v>
      </c>
      <c r="AC2" s="1" t="s">
        <v>4</v>
      </c>
      <c r="AD2" s="1" t="s">
        <v>5</v>
      </c>
      <c r="AE2" s="1" t="s">
        <v>6</v>
      </c>
      <c r="AF2" s="1"/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/>
      <c r="AM2" s="1" t="s">
        <v>2</v>
      </c>
      <c r="AN2" s="1" t="s">
        <v>3</v>
      </c>
      <c r="AO2" s="1" t="s">
        <v>4</v>
      </c>
      <c r="AP2" s="1" t="s">
        <v>5</v>
      </c>
      <c r="AQ2" s="1" t="s">
        <v>6</v>
      </c>
      <c r="AR2" s="1"/>
      <c r="AS2" s="1"/>
      <c r="AT2" s="1"/>
      <c r="AU2" s="1"/>
    </row>
    <row r="3" spans="1:47" ht="15.75">
      <c r="A3" s="2" t="s">
        <v>7</v>
      </c>
      <c r="B3" s="3">
        <v>8.19</v>
      </c>
      <c r="C3" s="3">
        <v>8.2799999999999994</v>
      </c>
      <c r="D3" s="3">
        <v>8.2899999999999991</v>
      </c>
      <c r="E3" s="4">
        <f>AVERAGE(B3:D3)</f>
        <v>8.2533333333333321</v>
      </c>
      <c r="F3" s="4">
        <f>_xlfn.STDEV.P(B3:D3)</f>
        <v>4.4969125210773349E-2</v>
      </c>
      <c r="G3" s="4"/>
      <c r="H3" s="4"/>
      <c r="I3" s="3"/>
      <c r="J3" s="3"/>
      <c r="K3" s="3"/>
      <c r="L3" s="4"/>
      <c r="M3" s="4"/>
      <c r="N3" s="4"/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2" t="s">
        <v>7</v>
      </c>
      <c r="AA3" s="3">
        <v>8.08</v>
      </c>
      <c r="AB3" s="3">
        <v>8.15</v>
      </c>
      <c r="AC3" s="3">
        <v>8.07</v>
      </c>
      <c r="AD3" s="4">
        <f>AVERAGE(AA3:AC3)</f>
        <v>8.1</v>
      </c>
      <c r="AE3" s="4">
        <f>_xlfn.STDEV.P(AA3:AC3)</f>
        <v>3.5590260840104443E-2</v>
      </c>
      <c r="AF3" s="1"/>
      <c r="AG3" s="4"/>
      <c r="AH3" s="3"/>
      <c r="AI3" s="3"/>
      <c r="AJ3" s="3"/>
      <c r="AK3" s="4"/>
      <c r="AL3" s="4"/>
      <c r="AM3" s="4"/>
      <c r="AN3" s="3"/>
      <c r="AO3" s="3"/>
      <c r="AP3" s="3"/>
      <c r="AQ3" s="3"/>
      <c r="AR3" s="3"/>
      <c r="AS3" s="1"/>
      <c r="AT3" s="1"/>
      <c r="AU3" s="1"/>
    </row>
    <row r="4" spans="1:47" ht="15.75">
      <c r="A4" s="2" t="s">
        <v>8</v>
      </c>
      <c r="B4" s="3">
        <v>9.01</v>
      </c>
      <c r="C4" s="3">
        <v>9.1999999999999993</v>
      </c>
      <c r="D4" s="3">
        <v>9.1199999999999992</v>
      </c>
      <c r="E4" s="4">
        <f>AVERAGE(B4:D4)</f>
        <v>9.11</v>
      </c>
      <c r="F4" s="4">
        <f>_xlfn.STDEV.P(B4:D4)</f>
        <v>7.788880963698594E-2</v>
      </c>
      <c r="G4" s="3"/>
      <c r="H4" s="3"/>
      <c r="I4" s="3"/>
      <c r="J4" s="3"/>
      <c r="K4" s="4"/>
      <c r="L4" s="4"/>
      <c r="M4" s="4"/>
      <c r="N4" s="3"/>
      <c r="O4" s="3"/>
      <c r="P4" s="3"/>
      <c r="Q4" s="3"/>
      <c r="R4" s="3"/>
      <c r="S4" s="1"/>
      <c r="T4" s="1"/>
      <c r="U4" s="1"/>
      <c r="V4" s="1"/>
      <c r="W4" s="1"/>
      <c r="X4" s="1"/>
      <c r="Y4" s="1"/>
      <c r="Z4" s="2" t="s">
        <v>8</v>
      </c>
      <c r="AA4" s="3">
        <v>9.07</v>
      </c>
      <c r="AB4" s="3">
        <v>9.17</v>
      </c>
      <c r="AC4" s="3">
        <v>9.1300000000000008</v>
      </c>
      <c r="AD4" s="4">
        <f>AVERAGE(AA4:AC4)</f>
        <v>9.1233333333333348</v>
      </c>
      <c r="AE4" s="4">
        <f>_xlfn.STDEV.P(AA4:AC4)</f>
        <v>4.1096093353126403E-2</v>
      </c>
      <c r="AF4" s="4"/>
      <c r="AG4" s="3"/>
      <c r="AH4" s="3"/>
      <c r="AI4" s="3"/>
      <c r="AJ4" s="4"/>
      <c r="AK4" s="4"/>
      <c r="AL4" s="4"/>
      <c r="AM4" s="3"/>
      <c r="AN4" s="3"/>
      <c r="AO4" s="3"/>
      <c r="AP4" s="3"/>
      <c r="AQ4" s="3"/>
      <c r="AR4" s="1"/>
      <c r="AS4" s="1"/>
      <c r="AT4" s="1"/>
      <c r="AU4" s="1"/>
    </row>
    <row r="5" spans="1:47" ht="15.75">
      <c r="A5" s="2" t="s">
        <v>9</v>
      </c>
      <c r="B5" s="3">
        <v>8.08</v>
      </c>
      <c r="C5" s="3">
        <v>8.2100000000000009</v>
      </c>
      <c r="D5" s="3">
        <v>8.26</v>
      </c>
      <c r="E5" s="4">
        <f>AVERAGE(B5:D5)</f>
        <v>8.1833333333333318</v>
      </c>
      <c r="F5" s="4">
        <f>_xlfn.STDEV.P(B5:D5)</f>
        <v>7.5865377844940268E-2</v>
      </c>
      <c r="G5" s="3"/>
      <c r="H5" s="3"/>
      <c r="I5" s="3"/>
      <c r="J5" s="3"/>
      <c r="K5" s="4"/>
      <c r="L5" s="4"/>
      <c r="M5" s="4"/>
      <c r="N5" s="3"/>
      <c r="O5" s="3"/>
      <c r="P5" s="3"/>
      <c r="Q5" s="3"/>
      <c r="R5" s="3"/>
      <c r="S5" s="1"/>
      <c r="T5" s="1"/>
      <c r="U5" s="1"/>
      <c r="V5" s="1"/>
      <c r="W5" s="1"/>
      <c r="X5" s="1"/>
      <c r="Y5" s="1"/>
      <c r="Z5" s="2" t="s">
        <v>9</v>
      </c>
      <c r="AA5" s="3">
        <v>8.35</v>
      </c>
      <c r="AB5" s="3">
        <v>8.4</v>
      </c>
      <c r="AC5" s="3">
        <v>8.2200000000000006</v>
      </c>
      <c r="AD5" s="4">
        <f>AVERAGE(AA5:AC5)</f>
        <v>8.3233333333333324</v>
      </c>
      <c r="AE5" s="4">
        <f>_xlfn.STDEV.P(AA5:AC5)</f>
        <v>7.5865377844940074E-2</v>
      </c>
      <c r="AF5" s="4"/>
      <c r="AG5" s="3"/>
      <c r="AH5" s="3"/>
      <c r="AI5" s="3"/>
      <c r="AJ5" s="4"/>
      <c r="AK5" s="4"/>
      <c r="AL5" s="4"/>
      <c r="AM5" s="3"/>
      <c r="AN5" s="3"/>
      <c r="AO5" s="3"/>
      <c r="AP5" s="3"/>
      <c r="AQ5" s="3"/>
      <c r="AR5" s="1"/>
      <c r="AS5" s="1"/>
      <c r="AT5" s="1"/>
      <c r="AU5" s="1"/>
    </row>
    <row r="6" spans="1:47" ht="15.75">
      <c r="A6" s="2" t="s">
        <v>10</v>
      </c>
      <c r="B6" s="3">
        <v>8.23</v>
      </c>
      <c r="C6" s="3">
        <v>8.25</v>
      </c>
      <c r="D6" s="3">
        <v>8.43</v>
      </c>
      <c r="E6" s="4">
        <f>AVERAGE(B6:D6)</f>
        <v>8.3033333333333328</v>
      </c>
      <c r="F6" s="4">
        <f>_xlfn.STDEV.P(B6:D6)</f>
        <v>8.9938250421546698E-2</v>
      </c>
      <c r="G6" s="3"/>
      <c r="H6" s="3"/>
      <c r="I6" s="3"/>
      <c r="J6" s="3"/>
      <c r="K6" s="4"/>
      <c r="L6" s="4"/>
      <c r="M6" s="4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2" t="s">
        <v>10</v>
      </c>
      <c r="AA6" s="3">
        <v>8.26</v>
      </c>
      <c r="AB6" s="3">
        <v>8.08</v>
      </c>
      <c r="AC6" s="3">
        <v>8.16</v>
      </c>
      <c r="AD6" s="4">
        <f>AVERAGE(AA6:AC6)</f>
        <v>8.1666666666666661</v>
      </c>
      <c r="AE6" s="4">
        <f>_xlfn.STDEV.P(AA6:AC6)</f>
        <v>7.3635740114581613E-2</v>
      </c>
      <c r="AF6" s="4"/>
      <c r="AG6" s="3"/>
      <c r="AH6" s="3"/>
      <c r="AI6" s="3"/>
      <c r="AJ6" s="4"/>
      <c r="AK6" s="4"/>
      <c r="AL6" s="4"/>
      <c r="AM6" s="3"/>
      <c r="AN6" s="3"/>
      <c r="AO6" s="3"/>
      <c r="AP6" s="3"/>
      <c r="AQ6" s="3"/>
      <c r="AR6" s="1"/>
      <c r="AS6" s="1"/>
      <c r="AT6" s="1"/>
      <c r="AU6" s="1"/>
    </row>
    <row r="7" spans="1:47" ht="15.75">
      <c r="A7" s="2" t="s">
        <v>11</v>
      </c>
      <c r="B7" s="3">
        <v>8.17</v>
      </c>
      <c r="C7" s="3">
        <v>8.18</v>
      </c>
      <c r="D7" s="3">
        <v>8.17</v>
      </c>
      <c r="E7" s="4">
        <f>AVERAGE(B7:D7)</f>
        <v>8.1733333333333338</v>
      </c>
      <c r="F7" s="4">
        <f>_xlfn.STDEV.P(B7:D7)</f>
        <v>4.714045207910216E-3</v>
      </c>
      <c r="G7" s="3"/>
      <c r="H7" s="3"/>
      <c r="I7" s="3"/>
      <c r="J7" s="3"/>
      <c r="K7" s="4"/>
      <c r="L7" s="4"/>
      <c r="M7" s="4"/>
      <c r="N7" s="3"/>
      <c r="O7" s="3"/>
      <c r="P7" s="3"/>
      <c r="Q7" s="3"/>
      <c r="R7" s="3"/>
      <c r="S7" s="1"/>
      <c r="T7" s="1"/>
      <c r="U7" s="1"/>
      <c r="V7" s="1"/>
      <c r="W7" s="1"/>
      <c r="X7" s="1"/>
      <c r="Y7" s="1"/>
      <c r="Z7" s="2" t="s">
        <v>11</v>
      </c>
      <c r="AA7" s="3">
        <v>8.11</v>
      </c>
      <c r="AB7" s="3">
        <v>8.08</v>
      </c>
      <c r="AC7" s="3">
        <v>8.16</v>
      </c>
      <c r="AD7" s="4">
        <f>AVERAGE(AA7:AC7)</f>
        <v>8.1166666666666654</v>
      </c>
      <c r="AE7" s="4">
        <f>_xlfn.STDEV.P(AA7:AC7)</f>
        <v>3.2998316455372295E-2</v>
      </c>
      <c r="AF7" s="4"/>
      <c r="AG7" s="3"/>
      <c r="AH7" s="3"/>
      <c r="AI7" s="3"/>
      <c r="AJ7" s="4"/>
      <c r="AK7" s="4"/>
      <c r="AL7" s="4"/>
      <c r="AM7" s="3"/>
      <c r="AN7" s="3"/>
      <c r="AO7" s="3"/>
      <c r="AP7" s="3"/>
      <c r="AQ7" s="3"/>
      <c r="AR7" s="1"/>
      <c r="AS7" s="1"/>
      <c r="AT7" s="1"/>
      <c r="AU7" s="1"/>
    </row>
    <row r="8" spans="1:47" ht="15.75">
      <c r="A8" s="2" t="s">
        <v>12</v>
      </c>
      <c r="B8" s="3">
        <v>8.1199999999999992</v>
      </c>
      <c r="C8" s="3">
        <v>7.96</v>
      </c>
      <c r="D8" s="3">
        <v>8.0500000000000007</v>
      </c>
      <c r="E8" s="4">
        <f>AVERAGE(B8:D8)</f>
        <v>8.043333333333333</v>
      </c>
      <c r="F8" s="4">
        <f>_xlfn.STDEV.P(B8:D8)</f>
        <v>6.5489609014628067E-2</v>
      </c>
      <c r="G8" s="3"/>
      <c r="H8" s="3"/>
      <c r="I8" s="3"/>
      <c r="J8" s="3"/>
      <c r="K8" s="4"/>
      <c r="L8" s="4"/>
      <c r="M8" s="4"/>
      <c r="N8" s="3"/>
      <c r="O8" s="3"/>
      <c r="P8" s="3"/>
      <c r="Q8" s="3"/>
      <c r="R8" s="3"/>
      <c r="S8" s="1"/>
      <c r="T8" s="1"/>
      <c r="U8" s="1"/>
      <c r="V8" s="1"/>
      <c r="W8" s="1"/>
      <c r="X8" s="1"/>
      <c r="Y8" s="1"/>
      <c r="Z8" s="2" t="s">
        <v>12</v>
      </c>
      <c r="AA8" s="3">
        <v>8.09</v>
      </c>
      <c r="AB8" s="3">
        <v>8.07</v>
      </c>
      <c r="AC8" s="3">
        <v>8.1999999999999993</v>
      </c>
      <c r="AD8" s="4">
        <f>AVERAGE(AA8:AC8)</f>
        <v>8.1199999999999992</v>
      </c>
      <c r="AE8" s="4">
        <f>_xlfn.STDEV.P(AA8:AC8)</f>
        <v>5.7154760664940435E-2</v>
      </c>
      <c r="AF8" s="4"/>
      <c r="AG8" s="3"/>
      <c r="AH8" s="3"/>
      <c r="AI8" s="3"/>
      <c r="AJ8" s="4"/>
      <c r="AK8" s="4"/>
      <c r="AL8" s="4"/>
      <c r="AM8" s="3"/>
      <c r="AN8" s="3"/>
      <c r="AO8" s="3"/>
      <c r="AP8" s="3"/>
      <c r="AQ8" s="3"/>
      <c r="AR8" s="1"/>
      <c r="AS8" s="1"/>
      <c r="AT8" s="1"/>
      <c r="AU8" s="1"/>
    </row>
    <row r="9" spans="1:47" ht="15.75">
      <c r="A9" s="2" t="s">
        <v>13</v>
      </c>
      <c r="B9" s="3">
        <v>7.94</v>
      </c>
      <c r="C9" s="3">
        <v>8.23</v>
      </c>
      <c r="D9" s="3">
        <v>7.75</v>
      </c>
      <c r="E9" s="4">
        <f>AVERAGE(B9:D9)</f>
        <v>7.9733333333333336</v>
      </c>
      <c r="F9" s="4">
        <f>_xlfn.STDEV.P(B9:D9)</f>
        <v>0.197371617907833</v>
      </c>
      <c r="G9" s="3"/>
      <c r="H9" s="3"/>
      <c r="I9" s="3"/>
      <c r="J9" s="3"/>
      <c r="K9" s="4"/>
      <c r="L9" s="4"/>
      <c r="M9" s="4"/>
      <c r="N9" s="3"/>
      <c r="O9" s="3"/>
      <c r="P9" s="3"/>
      <c r="Q9" s="3"/>
      <c r="R9" s="3"/>
      <c r="S9" s="1"/>
      <c r="T9" s="1"/>
      <c r="U9" s="1"/>
      <c r="V9" s="1"/>
      <c r="W9" s="1"/>
      <c r="X9" s="1"/>
      <c r="Y9" s="1"/>
      <c r="Z9" s="2" t="s">
        <v>13</v>
      </c>
      <c r="AA9" s="3">
        <v>8.1300000000000008</v>
      </c>
      <c r="AB9" s="3">
        <v>8.2799999999999994</v>
      </c>
      <c r="AC9" s="3">
        <v>8.32</v>
      </c>
      <c r="AD9" s="4">
        <f>AVERAGE(AA9:AC9)</f>
        <v>8.2433333333333341</v>
      </c>
      <c r="AE9" s="4">
        <f>_xlfn.STDEV.P(AA9:AC9)</f>
        <v>8.1785627642568276E-2</v>
      </c>
      <c r="AF9" s="4"/>
      <c r="AG9" s="3"/>
      <c r="AH9" s="3"/>
      <c r="AI9" s="3"/>
      <c r="AJ9" s="4"/>
      <c r="AK9" s="4"/>
      <c r="AL9" s="4"/>
      <c r="AM9" s="3"/>
      <c r="AN9" s="3"/>
      <c r="AO9" s="3"/>
      <c r="AP9" s="3"/>
      <c r="AQ9" s="3"/>
      <c r="AR9" s="1"/>
      <c r="AS9" s="1"/>
      <c r="AT9" s="1"/>
      <c r="AU9" s="1"/>
    </row>
    <row r="10" spans="1:47" ht="15.75">
      <c r="A10" s="2" t="s">
        <v>14</v>
      </c>
      <c r="B10" s="3">
        <v>8</v>
      </c>
      <c r="C10" s="3">
        <v>7.98</v>
      </c>
      <c r="D10" s="3">
        <v>8.11</v>
      </c>
      <c r="E10" s="4">
        <f>AVERAGE(B10:D10)</f>
        <v>8.0299999999999994</v>
      </c>
      <c r="F10" s="4">
        <f>_xlfn.STDEV.P(B10:D10)</f>
        <v>5.7154760664940435E-2</v>
      </c>
      <c r="G10" s="3"/>
      <c r="H10" s="3">
        <v>9.6199999999999992</v>
      </c>
      <c r="I10" s="3">
        <v>9.35</v>
      </c>
      <c r="J10" s="3">
        <v>9.4499999999999993</v>
      </c>
      <c r="K10" s="4">
        <f>AVERAGE(H10:J10)</f>
        <v>9.4733333333333327</v>
      </c>
      <c r="L10" s="4">
        <f>_xlfn.STDEV.P(H10:J10)</f>
        <v>0.11145502331533642</v>
      </c>
      <c r="M10" s="5"/>
      <c r="N10" s="3"/>
      <c r="O10" s="3"/>
      <c r="P10" s="3"/>
      <c r="Q10" s="3"/>
      <c r="R10" s="3"/>
      <c r="S10" s="1"/>
      <c r="T10" s="1"/>
      <c r="U10" s="1"/>
      <c r="V10" s="1"/>
      <c r="W10" s="1"/>
      <c r="X10" s="1"/>
      <c r="Y10" s="1"/>
      <c r="Z10" s="2" t="s">
        <v>14</v>
      </c>
      <c r="AA10" s="3">
        <v>7.92</v>
      </c>
      <c r="AB10" s="3">
        <v>7.94</v>
      </c>
      <c r="AC10" s="3">
        <v>7.94</v>
      </c>
      <c r="AD10" s="4">
        <f>AVERAGE(AA10:AC10)</f>
        <v>7.9333333333333336</v>
      </c>
      <c r="AE10" s="4">
        <f>_xlfn.STDEV.P(AA10:AC10)</f>
        <v>9.4280904158208518E-3</v>
      </c>
      <c r="AF10" s="5"/>
      <c r="AG10" s="3">
        <v>9.16</v>
      </c>
      <c r="AH10" s="3">
        <v>8.9499999999999993</v>
      </c>
      <c r="AI10" s="3">
        <v>9.0500000000000007</v>
      </c>
      <c r="AJ10" s="4">
        <f>AVERAGE(AG10:AI10)</f>
        <v>9.0533333333333328</v>
      </c>
      <c r="AK10" s="4">
        <f>_xlfn.STDEV.P(AG10:AI10)</f>
        <v>8.5764535535124392E-2</v>
      </c>
      <c r="AL10" s="5"/>
      <c r="AM10" s="3"/>
      <c r="AN10" s="3"/>
      <c r="AO10" s="3"/>
      <c r="AP10" s="3"/>
      <c r="AQ10" s="3"/>
      <c r="AR10" s="1"/>
      <c r="AS10" s="1"/>
      <c r="AT10" s="1"/>
      <c r="AU10" s="1"/>
    </row>
    <row r="11" spans="1:47" ht="15.75">
      <c r="A11" s="2" t="s">
        <v>15</v>
      </c>
      <c r="B11" s="3">
        <v>8</v>
      </c>
      <c r="C11" s="3">
        <v>7.91</v>
      </c>
      <c r="D11" s="3">
        <v>8.23</v>
      </c>
      <c r="E11" s="4">
        <f>AVERAGE(B11:D11)</f>
        <v>8.0466666666666669</v>
      </c>
      <c r="F11" s="4">
        <f>_xlfn.STDEV.P(B11:D11)</f>
        <v>0.13474255287605172</v>
      </c>
      <c r="G11" s="3"/>
      <c r="H11" s="3">
        <v>7.88</v>
      </c>
      <c r="I11" s="3">
        <v>7.65</v>
      </c>
      <c r="J11" s="3">
        <v>7.76</v>
      </c>
      <c r="K11" s="4">
        <f>AVERAGE(H11:J11)</f>
        <v>7.7633333333333328</v>
      </c>
      <c r="L11" s="4">
        <f>_xlfn.STDEV.P(H11:J11)</f>
        <v>9.392668535736895E-2</v>
      </c>
      <c r="M11" s="5"/>
      <c r="N11" s="3"/>
      <c r="O11" s="3"/>
      <c r="P11" s="3"/>
      <c r="Q11" s="3"/>
      <c r="R11" s="3"/>
      <c r="S11" s="1"/>
      <c r="T11" s="1"/>
      <c r="U11" s="1"/>
      <c r="V11" s="1"/>
      <c r="W11" s="1"/>
      <c r="X11" s="1"/>
      <c r="Y11" s="1"/>
      <c r="Z11" s="2" t="s">
        <v>15</v>
      </c>
      <c r="AA11" s="3">
        <v>8.24</v>
      </c>
      <c r="AB11" s="3">
        <v>7.94</v>
      </c>
      <c r="AC11" s="3">
        <v>8.1300000000000008</v>
      </c>
      <c r="AD11" s="4">
        <f>AVERAGE(AA11:AC11)</f>
        <v>8.1033333333333335</v>
      </c>
      <c r="AE11" s="4">
        <f>_xlfn.STDEV.P(AA11:AC11)</f>
        <v>0.12391753530294067</v>
      </c>
      <c r="AF11" s="5"/>
      <c r="AG11" s="3">
        <v>7.92</v>
      </c>
      <c r="AH11" s="3">
        <v>7.52</v>
      </c>
      <c r="AI11" s="3">
        <v>7.71</v>
      </c>
      <c r="AJ11" s="4">
        <f>AVERAGE(AG11:AI11)</f>
        <v>7.7166666666666659</v>
      </c>
      <c r="AK11" s="4">
        <f>_xlfn.STDEV.P(AG11:AI11)</f>
        <v>0.16336734339790476</v>
      </c>
      <c r="AL11" s="5"/>
      <c r="AM11" s="3"/>
      <c r="AN11" s="3"/>
      <c r="AO11" s="3"/>
      <c r="AP11" s="3"/>
      <c r="AQ11" s="3"/>
      <c r="AR11" s="1"/>
      <c r="AS11" s="1"/>
      <c r="AT11" s="1"/>
      <c r="AU11" s="1"/>
    </row>
    <row r="12" spans="1:47" ht="15.75">
      <c r="A12" s="2" t="s">
        <v>16</v>
      </c>
      <c r="B12" s="3">
        <v>9.43</v>
      </c>
      <c r="C12" s="3">
        <v>9.08</v>
      </c>
      <c r="D12" s="3">
        <v>9.41</v>
      </c>
      <c r="E12" s="4">
        <f>AVERAGE(B12:D12)</f>
        <v>9.3066666666666666</v>
      </c>
      <c r="F12" s="4">
        <f>_xlfn.STDEV.P(B12:D12)</f>
        <v>0.1604853748961429</v>
      </c>
      <c r="G12" s="3"/>
      <c r="H12" s="3">
        <v>6.43</v>
      </c>
      <c r="I12" s="3">
        <v>6.45</v>
      </c>
      <c r="J12" s="3">
        <v>6.52</v>
      </c>
      <c r="K12" s="4">
        <f>AVERAGE(H12:J12)</f>
        <v>6.4666666666666659</v>
      </c>
      <c r="L12" s="4">
        <f>_xlfn.STDEV.P(H12:J12)</f>
        <v>3.8586123009300623E-2</v>
      </c>
      <c r="M12" s="5"/>
      <c r="N12" s="3"/>
      <c r="O12" s="3"/>
      <c r="P12" s="3"/>
      <c r="Q12" s="3"/>
      <c r="R12" s="3"/>
      <c r="S12" s="1"/>
      <c r="T12" s="1"/>
      <c r="U12" s="1"/>
      <c r="V12" s="1"/>
      <c r="W12" s="1"/>
      <c r="X12" s="1"/>
      <c r="Y12" s="1"/>
      <c r="Z12" s="2" t="s">
        <v>16</v>
      </c>
      <c r="AA12" s="3">
        <v>9.25</v>
      </c>
      <c r="AB12" s="3">
        <v>9.11</v>
      </c>
      <c r="AC12" s="3">
        <v>9.19</v>
      </c>
      <c r="AD12" s="4">
        <f>AVERAGE(AA12:AC12)</f>
        <v>9.1833333333333318</v>
      </c>
      <c r="AE12" s="4">
        <f>_xlfn.STDEV.P(AA12:AC12)</f>
        <v>5.7348835113617734E-2</v>
      </c>
      <c r="AF12" s="5"/>
      <c r="AG12" s="3">
        <v>6.56</v>
      </c>
      <c r="AH12" s="3">
        <v>6.68</v>
      </c>
      <c r="AI12" s="3">
        <v>6.62</v>
      </c>
      <c r="AJ12" s="4">
        <f>AVERAGE(AG12:AI12)</f>
        <v>6.62</v>
      </c>
      <c r="AK12" s="4">
        <f>_xlfn.STDEV.P(AG12:AI12)</f>
        <v>4.8989794855663606E-2</v>
      </c>
      <c r="AL12" s="5"/>
      <c r="AM12" s="3"/>
      <c r="AN12" s="3"/>
      <c r="AO12" s="3"/>
      <c r="AP12" s="3"/>
      <c r="AQ12" s="3"/>
      <c r="AR12" s="1"/>
      <c r="AS12" s="1"/>
      <c r="AT12" s="1"/>
      <c r="AU12" s="1"/>
    </row>
    <row r="13" spans="1:47" ht="15.75">
      <c r="A13" s="2" t="s">
        <v>17</v>
      </c>
      <c r="B13" s="3">
        <v>8.06</v>
      </c>
      <c r="C13" s="3">
        <v>8.15</v>
      </c>
      <c r="D13" s="3">
        <v>8.06</v>
      </c>
      <c r="E13" s="4">
        <f>AVERAGE(B13:D13)</f>
        <v>8.0900000000000016</v>
      </c>
      <c r="F13" s="4">
        <f>_xlfn.STDEV.P(B13:D13)</f>
        <v>4.2426406871192784E-2</v>
      </c>
      <c r="G13" s="3"/>
      <c r="H13" s="3">
        <v>7.55</v>
      </c>
      <c r="I13" s="3">
        <v>7.74</v>
      </c>
      <c r="J13" s="3">
        <v>7.84</v>
      </c>
      <c r="K13" s="4">
        <f>AVERAGE(H13:J13)</f>
        <v>7.71</v>
      </c>
      <c r="L13" s="4">
        <f>_xlfn.STDEV.P(H13:J13)</f>
        <v>0.12027745701779148</v>
      </c>
      <c r="M13" s="5"/>
      <c r="N13" s="3"/>
      <c r="O13" s="3"/>
      <c r="P13" s="3"/>
      <c r="Q13" s="3"/>
      <c r="R13" s="3"/>
      <c r="S13" s="1"/>
      <c r="T13" s="1"/>
      <c r="U13" s="1"/>
      <c r="V13" s="1"/>
      <c r="W13" s="1"/>
      <c r="X13" s="1"/>
      <c r="Y13" s="1"/>
      <c r="Z13" s="2" t="s">
        <v>17</v>
      </c>
      <c r="AA13" s="3">
        <v>8.15</v>
      </c>
      <c r="AB13" s="3">
        <v>8.14</v>
      </c>
      <c r="AC13" s="3">
        <v>8.01</v>
      </c>
      <c r="AD13" s="4">
        <f>AVERAGE(AA13:AC13)</f>
        <v>8.1</v>
      </c>
      <c r="AE13" s="4">
        <f>_xlfn.STDEV.P(AA13:AC13)</f>
        <v>6.3770421565696955E-2</v>
      </c>
      <c r="AF13" s="5"/>
      <c r="AG13" s="3">
        <v>7.26</v>
      </c>
      <c r="AH13" s="3">
        <v>7.39</v>
      </c>
      <c r="AI13" s="3">
        <v>7.46</v>
      </c>
      <c r="AJ13" s="4">
        <f>AVERAGE(AG13:AI13)</f>
        <v>7.37</v>
      </c>
      <c r="AK13" s="4">
        <f>_xlfn.STDEV.P(AG13:AI13)</f>
        <v>8.2865352631040418E-2</v>
      </c>
      <c r="AL13" s="5"/>
      <c r="AM13" s="3"/>
      <c r="AN13" s="3"/>
      <c r="AO13" s="3"/>
      <c r="AP13" s="3"/>
      <c r="AQ13" s="3"/>
      <c r="AR13" s="1"/>
      <c r="AS13" s="1"/>
      <c r="AT13" s="1"/>
      <c r="AU13" s="1"/>
    </row>
    <row r="14" spans="1:47" ht="15.75">
      <c r="A14" s="2" t="s">
        <v>18</v>
      </c>
      <c r="B14" s="3">
        <v>8.06</v>
      </c>
      <c r="C14" s="3">
        <v>8.1300000000000008</v>
      </c>
      <c r="D14" s="3">
        <v>8.11</v>
      </c>
      <c r="E14" s="4">
        <f>AVERAGE(B14:D14)</f>
        <v>8.1</v>
      </c>
      <c r="F14" s="4">
        <f>_xlfn.STDEV.P(B14:D14)</f>
        <v>2.9439202887759468E-2</v>
      </c>
      <c r="G14" s="3"/>
      <c r="H14" s="3">
        <v>7.58</v>
      </c>
      <c r="I14" s="3">
        <v>8.27</v>
      </c>
      <c r="J14" s="3">
        <v>7.86</v>
      </c>
      <c r="K14" s="4">
        <f>AVERAGE(H14:J14)</f>
        <v>7.9033333333333333</v>
      </c>
      <c r="L14" s="4">
        <f>_xlfn.STDEV.P(H14:J14)</f>
        <v>0.28335294049804521</v>
      </c>
      <c r="M14" s="5"/>
      <c r="N14" s="3"/>
      <c r="O14" s="3"/>
      <c r="P14" s="3"/>
      <c r="Q14" s="3"/>
      <c r="R14" s="3"/>
      <c r="S14" s="1"/>
      <c r="T14" s="1"/>
      <c r="U14" s="1"/>
      <c r="V14" s="1"/>
      <c r="W14" s="1"/>
      <c r="X14" s="1"/>
      <c r="Y14" s="1"/>
      <c r="Z14" s="2" t="s">
        <v>18</v>
      </c>
      <c r="AA14" s="3">
        <v>8.24</v>
      </c>
      <c r="AB14" s="3">
        <v>8.14</v>
      </c>
      <c r="AC14" s="3">
        <v>7.99</v>
      </c>
      <c r="AD14" s="4">
        <f>AVERAGE(AA14:AC14)</f>
        <v>8.1233333333333348</v>
      </c>
      <c r="AE14" s="4">
        <f>_xlfn.STDEV.P(AA14:AC14)</f>
        <v>0.10274023338281629</v>
      </c>
      <c r="AF14" s="5"/>
      <c r="AG14" s="3">
        <v>7.66</v>
      </c>
      <c r="AH14" s="3">
        <v>7.72</v>
      </c>
      <c r="AI14" s="3">
        <v>7.84</v>
      </c>
      <c r="AJ14" s="4">
        <f>AVERAGE(AG14:AI14)</f>
        <v>7.7399999999999993</v>
      </c>
      <c r="AK14" s="4">
        <f>_xlfn.STDEV.P(AG14:AI14)</f>
        <v>7.4833147735478736E-2</v>
      </c>
      <c r="AL14" s="5"/>
      <c r="AM14" s="3"/>
      <c r="AN14" s="3"/>
      <c r="AO14" s="3"/>
      <c r="AP14" s="3"/>
      <c r="AQ14" s="3"/>
      <c r="AR14" s="1"/>
      <c r="AS14" s="1"/>
      <c r="AT14" s="1"/>
      <c r="AU14" s="1"/>
    </row>
    <row r="15" spans="1:47" ht="15.75">
      <c r="A15" s="2" t="s">
        <v>19</v>
      </c>
      <c r="B15" s="3">
        <v>8.0500000000000007</v>
      </c>
      <c r="C15" s="3">
        <v>7.96</v>
      </c>
      <c r="D15" s="3">
        <v>8.02</v>
      </c>
      <c r="E15" s="4">
        <f>AVERAGE(B15:D15)</f>
        <v>8.01</v>
      </c>
      <c r="F15" s="4">
        <f>_xlfn.STDEV.P(B15:D15)</f>
        <v>3.7416573867739646E-2</v>
      </c>
      <c r="G15" s="3"/>
      <c r="H15" s="3">
        <v>7.53</v>
      </c>
      <c r="I15" s="3">
        <v>7.4</v>
      </c>
      <c r="J15" s="3">
        <v>7.32</v>
      </c>
      <c r="K15" s="4">
        <f>AVERAGE(H15:J15)</f>
        <v>7.416666666666667</v>
      </c>
      <c r="L15" s="4">
        <f>_xlfn.STDEV.P(H15:J15)</f>
        <v>8.6538366571647776E-2</v>
      </c>
      <c r="M15" s="5"/>
      <c r="N15" s="3"/>
      <c r="O15" s="3"/>
      <c r="P15" s="3"/>
      <c r="Q15" s="3"/>
      <c r="R15" s="3"/>
      <c r="S15" s="1"/>
      <c r="T15" s="1"/>
      <c r="U15" s="1"/>
      <c r="V15" s="1"/>
      <c r="W15" s="1"/>
      <c r="X15" s="1"/>
      <c r="Y15" s="1"/>
      <c r="Z15" s="2" t="s">
        <v>19</v>
      </c>
      <c r="AA15" s="3">
        <v>7.99</v>
      </c>
      <c r="AB15" s="3">
        <v>8.07</v>
      </c>
      <c r="AC15" s="3">
        <v>7.89</v>
      </c>
      <c r="AD15" s="4">
        <f>AVERAGE(AA15:AC15)</f>
        <v>7.9833333333333343</v>
      </c>
      <c r="AE15" s="4">
        <f>_xlfn.STDEV.P(AA15:AC15)</f>
        <v>7.3635740114581988E-2</v>
      </c>
      <c r="AF15" s="5"/>
      <c r="AG15" s="3">
        <v>7.28</v>
      </c>
      <c r="AH15" s="3">
        <v>7.15</v>
      </c>
      <c r="AI15" s="3">
        <v>7.38</v>
      </c>
      <c r="AJ15" s="4">
        <f>AVERAGE(AG15:AI15)</f>
        <v>7.27</v>
      </c>
      <c r="AK15" s="4">
        <f>_xlfn.STDEV.P(AG15:AI15)</f>
        <v>9.4162979278836711E-2</v>
      </c>
      <c r="AL15" s="5"/>
      <c r="AM15" s="3"/>
      <c r="AN15" s="3"/>
      <c r="AO15" s="3"/>
      <c r="AP15" s="3"/>
      <c r="AQ15" s="3"/>
      <c r="AR15" s="1"/>
      <c r="AS15" s="1"/>
      <c r="AT15" s="1"/>
      <c r="AU15" s="1"/>
    </row>
    <row r="16" spans="1:47" ht="15.75">
      <c r="A16" s="2" t="s">
        <v>20</v>
      </c>
      <c r="B16" s="3">
        <v>8.08</v>
      </c>
      <c r="C16" s="3">
        <v>7.92</v>
      </c>
      <c r="D16" s="3">
        <v>8.0399999999999991</v>
      </c>
      <c r="E16" s="4">
        <f>AVERAGE(B16:D16)</f>
        <v>8.0133333333333336</v>
      </c>
      <c r="F16" s="4">
        <f>_xlfn.STDEV.P(B16:D16)</f>
        <v>6.7986926847903736E-2</v>
      </c>
      <c r="G16" s="3"/>
      <c r="H16" s="3">
        <v>7.67</v>
      </c>
      <c r="I16" s="3">
        <v>7.25</v>
      </c>
      <c r="J16" s="3">
        <v>7.62</v>
      </c>
      <c r="K16" s="4">
        <f>AVERAGE(H16:J16)</f>
        <v>7.5133333333333328</v>
      </c>
      <c r="L16" s="4">
        <f>_xlfn.STDEV.P(H16:J16)</f>
        <v>0.18732028424302824</v>
      </c>
      <c r="M16" s="5"/>
      <c r="N16" s="3"/>
      <c r="O16" s="3"/>
      <c r="P16" s="3"/>
      <c r="Q16" s="3"/>
      <c r="R16" s="3"/>
      <c r="S16" s="1"/>
      <c r="T16" s="1"/>
      <c r="U16" s="1"/>
      <c r="V16" s="1"/>
      <c r="W16" s="1"/>
      <c r="X16" s="1"/>
      <c r="Y16" s="1"/>
      <c r="Z16" s="2" t="s">
        <v>20</v>
      </c>
      <c r="AA16" s="3">
        <v>8.17</v>
      </c>
      <c r="AB16" s="3">
        <v>8.18</v>
      </c>
      <c r="AC16" s="3">
        <v>8.15</v>
      </c>
      <c r="AD16" s="4">
        <f>AVERAGE(AA16:AC16)</f>
        <v>8.1666666666666661</v>
      </c>
      <c r="AE16" s="4">
        <f>_xlfn.STDEV.P(AA16:AC16)</f>
        <v>1.2472191289246206E-2</v>
      </c>
      <c r="AF16" s="5"/>
      <c r="AG16" s="3">
        <v>7.34</v>
      </c>
      <c r="AH16" s="3">
        <v>7.59</v>
      </c>
      <c r="AI16" s="3">
        <v>7.27</v>
      </c>
      <c r="AJ16" s="4">
        <f>AVERAGE(AG16:AI16)</f>
        <v>7.3999999999999995</v>
      </c>
      <c r="AK16" s="4">
        <f>_xlfn.STDEV.P(AG16:AI16)</f>
        <v>0.13735598518691017</v>
      </c>
      <c r="AL16" s="5"/>
      <c r="AM16" s="3"/>
      <c r="AN16" s="3"/>
      <c r="AO16" s="3"/>
      <c r="AP16" s="3"/>
      <c r="AQ16" s="3"/>
      <c r="AR16" s="1"/>
      <c r="AS16" s="1"/>
      <c r="AT16" s="1"/>
      <c r="AU16" s="1"/>
    </row>
    <row r="17" spans="1:47" ht="15.75">
      <c r="A17" s="2" t="s">
        <v>21</v>
      </c>
      <c r="B17" s="3">
        <v>9.27</v>
      </c>
      <c r="C17" s="3">
        <v>9.35</v>
      </c>
      <c r="D17" s="3">
        <v>9.39</v>
      </c>
      <c r="E17" s="4">
        <f>AVERAGE(B17:D17)</f>
        <v>9.336666666666666</v>
      </c>
      <c r="F17" s="4">
        <f>_xlfn.STDEV.P(B17:D17)</f>
        <v>4.9888765156986252E-2</v>
      </c>
      <c r="G17" s="3"/>
      <c r="H17" s="3">
        <v>7.81</v>
      </c>
      <c r="I17" s="3">
        <v>7.78</v>
      </c>
      <c r="J17" s="3">
        <v>7.88</v>
      </c>
      <c r="K17" s="4">
        <f>AVERAGE(H17:J17)</f>
        <v>7.8233333333333333</v>
      </c>
      <c r="L17" s="4">
        <f>_xlfn.STDEV.P(H17:J17)</f>
        <v>4.1899350299921687E-2</v>
      </c>
      <c r="M17" s="5"/>
      <c r="N17" s="3"/>
      <c r="O17" s="3"/>
      <c r="P17" s="3"/>
      <c r="Q17" s="3"/>
      <c r="R17" s="3"/>
      <c r="S17" s="1"/>
      <c r="T17" s="1"/>
      <c r="U17" s="1"/>
      <c r="V17" s="1"/>
      <c r="W17" s="1"/>
      <c r="X17" s="1"/>
      <c r="Y17" s="1"/>
      <c r="Z17" s="2" t="s">
        <v>21</v>
      </c>
      <c r="AA17" s="3">
        <v>9.26</v>
      </c>
      <c r="AB17" s="3">
        <v>9.14</v>
      </c>
      <c r="AC17" s="3">
        <v>9.1</v>
      </c>
      <c r="AD17" s="4">
        <f>AVERAGE(AA17:AC17)</f>
        <v>9.1666666666666661</v>
      </c>
      <c r="AE17" s="4">
        <f>_xlfn.STDEV.P(AA17:AC17)</f>
        <v>6.798692684790375E-2</v>
      </c>
      <c r="AF17" s="5"/>
      <c r="AG17" s="3">
        <v>7.73</v>
      </c>
      <c r="AH17" s="3">
        <v>7.67</v>
      </c>
      <c r="AI17" s="3">
        <v>7.53</v>
      </c>
      <c r="AJ17" s="4">
        <f>AVERAGE(AG17:AI17)</f>
        <v>7.6433333333333335</v>
      </c>
      <c r="AK17" s="4">
        <f>_xlfn.STDEV.P(AG17:AI17)</f>
        <v>8.3798700599843595E-2</v>
      </c>
      <c r="AL17" s="5"/>
      <c r="AM17" s="3"/>
      <c r="AN17" s="3"/>
      <c r="AO17" s="3"/>
      <c r="AP17" s="3"/>
      <c r="AQ17" s="3"/>
      <c r="AR17" s="1"/>
      <c r="AS17" s="1"/>
      <c r="AT17" s="1"/>
      <c r="AU17" s="1"/>
    </row>
    <row r="18" spans="1:47" ht="15.75">
      <c r="A18" s="2" t="s">
        <v>22</v>
      </c>
      <c r="B18" s="3">
        <v>9.6</v>
      </c>
      <c r="C18" s="3">
        <v>9.52</v>
      </c>
      <c r="D18" s="3">
        <v>9.82</v>
      </c>
      <c r="E18" s="4">
        <f>AVERAGE(B18:D18)</f>
        <v>9.6466666666666665</v>
      </c>
      <c r="F18" s="4">
        <f>_xlfn.STDEV.P(B18:D18)</f>
        <v>0.12684198393626997</v>
      </c>
      <c r="G18" s="3"/>
      <c r="H18" s="3">
        <v>8.06</v>
      </c>
      <c r="I18" s="3">
        <v>8.1</v>
      </c>
      <c r="J18" s="3">
        <v>8.09</v>
      </c>
      <c r="K18" s="4">
        <f>AVERAGE(H18:J18)</f>
        <v>8.0833333333333339</v>
      </c>
      <c r="L18" s="4">
        <f>_xlfn.STDEV.P(H18:J18)</f>
        <v>1.6996731711975587E-2</v>
      </c>
      <c r="M18" s="5"/>
      <c r="N18" s="3"/>
      <c r="O18" s="3"/>
      <c r="P18" s="3"/>
      <c r="Q18" s="3"/>
      <c r="R18" s="3"/>
      <c r="S18" s="1"/>
      <c r="T18" s="1"/>
      <c r="U18" s="1"/>
      <c r="V18" s="1"/>
      <c r="W18" s="1"/>
      <c r="X18" s="1"/>
      <c r="Y18" s="1"/>
      <c r="Z18" s="2" t="s">
        <v>22</v>
      </c>
      <c r="AA18" s="3">
        <v>9.36</v>
      </c>
      <c r="AB18" s="3">
        <v>9.16</v>
      </c>
      <c r="AC18" s="3">
        <v>9.84</v>
      </c>
      <c r="AD18" s="4">
        <f>AVERAGE(AA18:AC18)</f>
        <v>9.4533333333333331</v>
      </c>
      <c r="AE18" s="4">
        <f>_xlfn.STDEV.P(AA18:AC18)</f>
        <v>0.28534579412043587</v>
      </c>
      <c r="AF18" s="5"/>
      <c r="AG18" s="3">
        <v>7.43</v>
      </c>
      <c r="AH18" s="3">
        <v>7.51</v>
      </c>
      <c r="AI18" s="3">
        <v>6.78</v>
      </c>
      <c r="AJ18" s="4">
        <f>AVERAGE(AG18:AI18)</f>
        <v>7.2399999999999993</v>
      </c>
      <c r="AK18" s="4">
        <f>_xlfn.STDEV.P(AG18:AI18)</f>
        <v>0.32690467519854549</v>
      </c>
      <c r="AL18" s="5"/>
      <c r="AM18" s="3"/>
      <c r="AN18" s="3"/>
      <c r="AO18" s="3"/>
      <c r="AP18" s="3"/>
      <c r="AQ18" s="3"/>
      <c r="AR18" s="1"/>
      <c r="AS18" s="1"/>
      <c r="AT18" s="1"/>
      <c r="AU18" s="1"/>
    </row>
    <row r="19" spans="1:47" ht="15.75">
      <c r="A19" s="2" t="s">
        <v>23</v>
      </c>
      <c r="B19" s="3">
        <v>9.42</v>
      </c>
      <c r="C19" s="3">
        <v>9.31</v>
      </c>
      <c r="D19" s="3">
        <v>9.41</v>
      </c>
      <c r="E19" s="4">
        <f>AVERAGE(B19:D19)</f>
        <v>9.3800000000000008</v>
      </c>
      <c r="F19" s="4">
        <f>_xlfn.STDEV.P(B19:D19)</f>
        <v>4.9665548085837577E-2</v>
      </c>
      <c r="G19" s="3"/>
      <c r="H19" s="3">
        <v>7.72</v>
      </c>
      <c r="I19" s="3">
        <v>8</v>
      </c>
      <c r="J19" s="3">
        <v>7.78</v>
      </c>
      <c r="K19" s="4">
        <f>AVERAGE(H19:J19)</f>
        <v>7.833333333333333</v>
      </c>
      <c r="L19" s="4">
        <f>_xlfn.STDEV.P(H19:J19)</f>
        <v>0.12036980056845197</v>
      </c>
      <c r="M19" s="5"/>
      <c r="N19" s="3"/>
      <c r="O19" s="3"/>
      <c r="P19" s="3"/>
      <c r="Q19" s="3"/>
      <c r="R19" s="3"/>
      <c r="S19" s="1"/>
      <c r="T19" s="1"/>
      <c r="U19" s="1"/>
      <c r="V19" s="1"/>
      <c r="W19" s="1"/>
      <c r="X19" s="1"/>
      <c r="Y19" s="1"/>
      <c r="Z19" s="2" t="s">
        <v>23</v>
      </c>
      <c r="AA19" s="3">
        <v>9.1199999999999992</v>
      </c>
      <c r="AB19" s="3">
        <v>9.11</v>
      </c>
      <c r="AC19" s="3">
        <v>9.2100000000000009</v>
      </c>
      <c r="AD19" s="4">
        <f>AVERAGE(AA19:AC19)</f>
        <v>9.1466666666666665</v>
      </c>
      <c r="AE19" s="4">
        <f>_xlfn.STDEV.P(AA19:AC19)</f>
        <v>4.4969125210774182E-2</v>
      </c>
      <c r="AF19" s="5"/>
      <c r="AG19" s="3">
        <v>7.72</v>
      </c>
      <c r="AH19" s="3">
        <v>8</v>
      </c>
      <c r="AI19" s="3">
        <v>7.78</v>
      </c>
      <c r="AJ19" s="4">
        <f>AVERAGE(AG19:AI19)</f>
        <v>7.833333333333333</v>
      </c>
      <c r="AK19" s="4">
        <f>_xlfn.STDEV.P(AG19:AI19)</f>
        <v>0.12036980056845197</v>
      </c>
      <c r="AL19" s="5"/>
      <c r="AM19" s="3"/>
      <c r="AN19" s="3"/>
      <c r="AO19" s="3"/>
      <c r="AP19" s="3"/>
      <c r="AQ19" s="3"/>
      <c r="AR19" s="1"/>
      <c r="AS19" s="1"/>
      <c r="AT19" s="1"/>
      <c r="AU19" s="1"/>
    </row>
    <row r="20" spans="1:47" ht="15.75">
      <c r="A20" s="2" t="s">
        <v>24</v>
      </c>
      <c r="B20" s="3">
        <v>9.5500000000000007</v>
      </c>
      <c r="C20" s="3">
        <v>9.2899999999999991</v>
      </c>
      <c r="D20" s="3">
        <v>9.6</v>
      </c>
      <c r="E20" s="4">
        <f>AVERAGE(B20:D20)</f>
        <v>9.4799999999999986</v>
      </c>
      <c r="F20" s="4">
        <f>_xlfn.STDEV.P(B20:D20)</f>
        <v>0.13589211407093046</v>
      </c>
      <c r="G20" s="3"/>
      <c r="H20" s="3">
        <v>7.92</v>
      </c>
      <c r="I20" s="3">
        <v>8.08</v>
      </c>
      <c r="J20" s="3">
        <v>7.85</v>
      </c>
      <c r="K20" s="4">
        <f>AVERAGE(H20:J20)</f>
        <v>7.95</v>
      </c>
      <c r="L20" s="4">
        <f>_xlfn.STDEV.P(H20:J20)</f>
        <v>9.6263527187957831E-2</v>
      </c>
      <c r="M20" s="5"/>
      <c r="N20" s="3"/>
      <c r="O20" s="3"/>
      <c r="P20" s="3"/>
      <c r="Q20" s="3"/>
      <c r="R20" s="3"/>
      <c r="S20" s="1"/>
      <c r="T20" s="1"/>
      <c r="U20" s="1"/>
      <c r="V20" s="1"/>
      <c r="W20" s="1"/>
      <c r="X20" s="1"/>
      <c r="Y20" s="1"/>
      <c r="Z20" s="2" t="s">
        <v>24</v>
      </c>
      <c r="AA20" s="3">
        <v>9</v>
      </c>
      <c r="AB20" s="3">
        <v>9.2100000000000009</v>
      </c>
      <c r="AC20" s="3">
        <v>9.18</v>
      </c>
      <c r="AD20" s="4">
        <f>AVERAGE(AA20:AC20)</f>
        <v>9.1300000000000008</v>
      </c>
      <c r="AE20" s="4">
        <f>_xlfn.STDEV.P(AA20:AC20)</f>
        <v>9.2736184954957238E-2</v>
      </c>
      <c r="AF20" s="5"/>
      <c r="AG20" s="3">
        <v>7.85</v>
      </c>
      <c r="AH20" s="3">
        <v>7.77</v>
      </c>
      <c r="AI20" s="3">
        <v>7.62</v>
      </c>
      <c r="AJ20" s="4">
        <f>AVERAGE(AG20:AI20)</f>
        <v>7.7466666666666661</v>
      </c>
      <c r="AK20" s="4">
        <f>_xlfn.STDEV.P(AG20:AI20)</f>
        <v>9.5335664307167056E-2</v>
      </c>
      <c r="AL20" s="5"/>
      <c r="AM20" s="3"/>
      <c r="AN20" s="3"/>
      <c r="AO20" s="3"/>
      <c r="AP20" s="3"/>
      <c r="AQ20" s="3"/>
      <c r="AR20" s="1"/>
      <c r="AS20" s="1"/>
      <c r="AT20" s="1"/>
      <c r="AU20" s="1"/>
    </row>
    <row r="21" spans="1:47" ht="15.75">
      <c r="A21" s="2" t="s">
        <v>25</v>
      </c>
      <c r="B21" s="3">
        <v>7.08</v>
      </c>
      <c r="C21" s="3">
        <v>7.35</v>
      </c>
      <c r="D21" s="3">
        <v>7.53</v>
      </c>
      <c r="E21" s="4">
        <f>AVERAGE(B21:D21)</f>
        <v>7.32</v>
      </c>
      <c r="F21" s="4">
        <f>_xlfn.STDEV.P(B21:D21)</f>
        <v>0.18493242008906932</v>
      </c>
      <c r="G21" s="3"/>
      <c r="H21" s="3">
        <v>7.47</v>
      </c>
      <c r="I21" s="3">
        <v>7.62</v>
      </c>
      <c r="J21" s="3">
        <v>7.53</v>
      </c>
      <c r="K21" s="4">
        <f>AVERAGE(H21:J21)</f>
        <v>7.54</v>
      </c>
      <c r="L21" s="4">
        <f>_xlfn.STDEV.P(H21:J21)</f>
        <v>6.1644140029689889E-2</v>
      </c>
      <c r="M21" s="5"/>
      <c r="N21" s="3"/>
      <c r="O21" s="3"/>
      <c r="P21" s="3"/>
      <c r="Q21" s="3"/>
      <c r="R21" s="3"/>
      <c r="S21" s="1"/>
      <c r="T21" s="1"/>
      <c r="U21" s="1"/>
      <c r="V21" s="1"/>
      <c r="W21" s="1"/>
      <c r="X21" s="1"/>
      <c r="Y21" s="1"/>
      <c r="Z21" s="2" t="s">
        <v>25</v>
      </c>
      <c r="AA21" s="3">
        <v>7.93</v>
      </c>
      <c r="AB21" s="3">
        <v>8.14</v>
      </c>
      <c r="AC21" s="3">
        <v>7.98</v>
      </c>
      <c r="AD21" s="4">
        <f>AVERAGE(AA21:AC21)</f>
        <v>8.0166666666666675</v>
      </c>
      <c r="AE21" s="4">
        <f>_xlfn.STDEV.P(AA21:AC21)</f>
        <v>8.9566858950296327E-2</v>
      </c>
      <c r="AF21" s="5"/>
      <c r="AG21" s="3">
        <v>7.67</v>
      </c>
      <c r="AH21" s="3">
        <v>7.62</v>
      </c>
      <c r="AI21" s="3">
        <v>7.65</v>
      </c>
      <c r="AJ21" s="4">
        <f>AVERAGE(AG21:AI21)</f>
        <v>7.6466666666666656</v>
      </c>
      <c r="AK21" s="4">
        <f>_xlfn.STDEV.P(AG21:AI21)</f>
        <v>2.0548046676563202E-2</v>
      </c>
      <c r="AL21" s="5"/>
      <c r="AM21" s="3"/>
      <c r="AN21" s="3"/>
      <c r="AO21" s="3"/>
      <c r="AP21" s="3"/>
      <c r="AQ21" s="3"/>
      <c r="AR21" s="1"/>
      <c r="AS21" s="1"/>
      <c r="AT21" s="1"/>
      <c r="AU21" s="1"/>
    </row>
    <row r="22" spans="1:47" ht="15.75">
      <c r="A22" s="2" t="s">
        <v>26</v>
      </c>
      <c r="B22" s="3">
        <v>7.78</v>
      </c>
      <c r="C22" s="3">
        <v>7.64</v>
      </c>
      <c r="D22" s="3">
        <v>7.04</v>
      </c>
      <c r="E22" s="4">
        <f>AVERAGE(B22:D22)</f>
        <v>7.4866666666666672</v>
      </c>
      <c r="F22" s="4">
        <f>_xlfn.STDEV.P(B22:D22)</f>
        <v>0.32097074979228596</v>
      </c>
      <c r="G22" s="3"/>
      <c r="H22" s="3">
        <v>7.53</v>
      </c>
      <c r="I22" s="3">
        <v>7.42</v>
      </c>
      <c r="J22" s="3">
        <v>7.48</v>
      </c>
      <c r="K22" s="4">
        <f>AVERAGE(H22:J22)</f>
        <v>7.4766666666666666</v>
      </c>
      <c r="L22" s="4">
        <f>_xlfn.STDEV.P(H22:J22)</f>
        <v>4.4969125210773613E-2</v>
      </c>
      <c r="M22" s="5"/>
      <c r="N22" s="3"/>
      <c r="O22" s="3"/>
      <c r="P22" s="3"/>
      <c r="Q22" s="3"/>
      <c r="R22" s="3"/>
      <c r="S22" s="1"/>
      <c r="T22" s="1"/>
      <c r="U22" s="1"/>
      <c r="V22" s="1"/>
      <c r="W22" s="1"/>
      <c r="X22" s="1"/>
      <c r="Y22" s="1"/>
      <c r="Z22" s="2" t="s">
        <v>26</v>
      </c>
      <c r="AA22" s="3">
        <v>7.72</v>
      </c>
      <c r="AB22" s="3">
        <v>7.99</v>
      </c>
      <c r="AC22" s="3">
        <v>7.93</v>
      </c>
      <c r="AD22" s="4">
        <f>AVERAGE(AA22:AC22)</f>
        <v>7.88</v>
      </c>
      <c r="AE22" s="4">
        <f>_xlfn.STDEV.P(AA22:AC22)</f>
        <v>0.11575836902790239</v>
      </c>
      <c r="AF22" s="5"/>
      <c r="AG22" s="3">
        <v>7.47</v>
      </c>
      <c r="AH22" s="3">
        <v>7.5</v>
      </c>
      <c r="AI22" s="3">
        <v>7.48</v>
      </c>
      <c r="AJ22" s="4">
        <f>AVERAGE(AG22:AI22)</f>
        <v>7.4833333333333334</v>
      </c>
      <c r="AK22" s="4">
        <f>_xlfn.STDEV.P(AG22:AI22)</f>
        <v>1.2472191289246521E-2</v>
      </c>
      <c r="AL22" s="5"/>
      <c r="AM22" s="3"/>
      <c r="AN22" s="3"/>
      <c r="AO22" s="3"/>
      <c r="AP22" s="3"/>
      <c r="AQ22" s="3"/>
      <c r="AR22" s="1"/>
      <c r="AS22" s="1"/>
      <c r="AT22" s="1"/>
      <c r="AU22" s="1"/>
    </row>
    <row r="23" spans="1:47" ht="15.75">
      <c r="A23" s="2" t="s">
        <v>27</v>
      </c>
      <c r="B23" s="3">
        <v>7.82</v>
      </c>
      <c r="C23" s="3">
        <v>8.07</v>
      </c>
      <c r="D23" s="3">
        <v>8.0299999999999994</v>
      </c>
      <c r="E23" s="4">
        <f>AVERAGE(B23:D23)</f>
        <v>7.9733333333333336</v>
      </c>
      <c r="F23" s="4">
        <f>_xlfn.STDEV.P(B23:D23)</f>
        <v>0.10964589468932334</v>
      </c>
      <c r="G23" s="3"/>
      <c r="H23" s="3">
        <v>7.52</v>
      </c>
      <c r="I23" s="3">
        <v>7.57</v>
      </c>
      <c r="J23" s="3">
        <v>7.89</v>
      </c>
      <c r="K23" s="4">
        <f>AVERAGE(H23:J23)</f>
        <v>7.66</v>
      </c>
      <c r="L23" s="4">
        <f>_xlfn.STDEV.P(H23:J23)</f>
        <v>0.16391054470858987</v>
      </c>
      <c r="M23" s="5"/>
      <c r="N23" s="3"/>
      <c r="O23" s="3"/>
      <c r="P23" s="3"/>
      <c r="Q23" s="3"/>
      <c r="R23" s="3"/>
      <c r="S23" s="1"/>
      <c r="T23" s="1"/>
      <c r="U23" s="1"/>
      <c r="V23" s="1"/>
      <c r="W23" s="1"/>
      <c r="X23" s="1"/>
      <c r="Y23" s="1"/>
      <c r="Z23" s="2" t="s">
        <v>27</v>
      </c>
      <c r="AA23" s="3">
        <v>8.2100000000000009</v>
      </c>
      <c r="AB23" s="3">
        <v>8</v>
      </c>
      <c r="AC23" s="3">
        <v>8.15</v>
      </c>
      <c r="AD23" s="4">
        <f>AVERAGE(AA23:AC23)</f>
        <v>8.1199999999999992</v>
      </c>
      <c r="AE23" s="4">
        <f>_xlfn.STDEV.P(AA23:AC23)</f>
        <v>8.8317608663278799E-2</v>
      </c>
      <c r="AF23" s="5"/>
      <c r="AG23" s="3">
        <v>7.65</v>
      </c>
      <c r="AH23" s="3">
        <v>7.74</v>
      </c>
      <c r="AI23" s="3">
        <v>7.99</v>
      </c>
      <c r="AJ23" s="4">
        <f>AVERAGE(AG23:AI23)</f>
        <v>7.7933333333333339</v>
      </c>
      <c r="AK23" s="4">
        <f>_xlfn.STDEV.P(AG23:AI23)</f>
        <v>0.14383632673594274</v>
      </c>
      <c r="AL23" s="5"/>
      <c r="AM23" s="3"/>
      <c r="AN23" s="3"/>
      <c r="AO23" s="3"/>
      <c r="AP23" s="3"/>
      <c r="AQ23" s="3"/>
      <c r="AR23" s="1"/>
      <c r="AS23" s="1"/>
      <c r="AT23" s="1"/>
      <c r="AU23" s="1"/>
    </row>
    <row r="24" spans="1:47" ht="15.75">
      <c r="A24" s="2" t="s">
        <v>28</v>
      </c>
      <c r="B24" s="3">
        <v>7.8</v>
      </c>
      <c r="C24" s="3">
        <v>7.8</v>
      </c>
      <c r="D24" s="3">
        <v>6.9</v>
      </c>
      <c r="E24" s="4">
        <f>AVERAGE(B24:D24)</f>
        <v>7.5</v>
      </c>
      <c r="F24" s="4">
        <f>_xlfn.STDEV.P(B24:D24)</f>
        <v>0.42426406871192829</v>
      </c>
      <c r="G24" s="3"/>
      <c r="H24" s="3">
        <v>7.7</v>
      </c>
      <c r="I24" s="3">
        <v>7.53</v>
      </c>
      <c r="J24" s="3">
        <v>7.63</v>
      </c>
      <c r="K24" s="4">
        <f>AVERAGE(H24:J24)</f>
        <v>7.62</v>
      </c>
      <c r="L24" s="4">
        <f>_xlfn.STDEV.P(H24:J24)</f>
        <v>6.9761498454854451E-2</v>
      </c>
      <c r="M24" s="5"/>
      <c r="N24" s="3"/>
      <c r="O24" s="3"/>
      <c r="P24" s="3"/>
      <c r="Q24" s="3"/>
      <c r="R24" s="3"/>
      <c r="S24" s="1"/>
      <c r="T24" s="1"/>
      <c r="U24" s="1"/>
      <c r="V24" s="1"/>
      <c r="W24" s="1"/>
      <c r="X24" s="1"/>
      <c r="Y24" s="1"/>
      <c r="Z24" s="2" t="s">
        <v>28</v>
      </c>
      <c r="AA24" s="3">
        <v>7.66</v>
      </c>
      <c r="AB24" s="3">
        <v>8.08</v>
      </c>
      <c r="AC24" s="3">
        <v>7.9</v>
      </c>
      <c r="AD24" s="4">
        <f>AVERAGE(AA24:AC24)</f>
        <v>7.88</v>
      </c>
      <c r="AE24" s="4">
        <f>_xlfn.STDEV.P(AA24:AC24)</f>
        <v>0.1720465053408525</v>
      </c>
      <c r="AF24" s="5"/>
      <c r="AG24" s="3">
        <v>7.61</v>
      </c>
      <c r="AH24" s="3">
        <v>7.45</v>
      </c>
      <c r="AI24" s="3">
        <v>7.47</v>
      </c>
      <c r="AJ24" s="4">
        <f>AVERAGE(AG24:AI24)</f>
        <v>7.5100000000000007</v>
      </c>
      <c r="AK24" s="4">
        <f>_xlfn.STDEV.P(AG24:AI24)</f>
        <v>7.1180521680208886E-2</v>
      </c>
      <c r="AL24" s="5"/>
      <c r="AM24" s="3"/>
      <c r="AN24" s="3"/>
      <c r="AO24" s="3"/>
      <c r="AP24" s="3"/>
      <c r="AQ24" s="3"/>
      <c r="AR24" s="1"/>
      <c r="AS24" s="1"/>
      <c r="AT24" s="1"/>
      <c r="AU24" s="1"/>
    </row>
    <row r="25" spans="1:47" ht="15.75">
      <c r="A25" s="2" t="s">
        <v>29</v>
      </c>
      <c r="B25" s="3">
        <v>8.06</v>
      </c>
      <c r="C25" s="3">
        <v>8</v>
      </c>
      <c r="D25" s="3">
        <v>8.1</v>
      </c>
      <c r="E25" s="4">
        <f>AVERAGE(B25:D25)</f>
        <v>8.0533333333333346</v>
      </c>
      <c r="F25" s="4">
        <f>_xlfn.STDEV.P(B25:D25)</f>
        <v>4.1096093353126403E-2</v>
      </c>
      <c r="G25" s="3"/>
      <c r="H25" s="3">
        <v>9.2799999999999994</v>
      </c>
      <c r="I25" s="3">
        <v>9.36</v>
      </c>
      <c r="J25" s="3">
        <v>9.17</v>
      </c>
      <c r="K25" s="4">
        <f>AVERAGE(H25:J25)</f>
        <v>9.2700000000000014</v>
      </c>
      <c r="L25" s="4">
        <f>_xlfn.STDEV.P(H25:J25)</f>
        <v>7.7888809636985926E-2</v>
      </c>
      <c r="M25" s="5"/>
      <c r="N25" s="3">
        <v>6.28</v>
      </c>
      <c r="O25" s="3">
        <v>6.05</v>
      </c>
      <c r="P25" s="3">
        <v>6.02</v>
      </c>
      <c r="Q25" s="4">
        <f>AVERAGE(N25:P25)</f>
        <v>6.1166666666666671</v>
      </c>
      <c r="R25" s="4">
        <f>_xlfn.STDEV.P(N25:P25)</f>
        <v>0.11614167593456258</v>
      </c>
      <c r="S25" s="5"/>
      <c r="T25" s="1"/>
      <c r="U25" s="1"/>
      <c r="V25" s="1"/>
      <c r="W25" s="1"/>
      <c r="X25" s="1"/>
      <c r="Y25" s="1"/>
      <c r="Z25" s="2" t="s">
        <v>29</v>
      </c>
      <c r="AA25" s="3">
        <v>8.1199999999999992</v>
      </c>
      <c r="AB25" s="3">
        <v>7.86</v>
      </c>
      <c r="AC25" s="3">
        <v>7.95</v>
      </c>
      <c r="AD25" s="4">
        <f>AVERAGE(AA25:AC25)</f>
        <v>7.9766666666666666</v>
      </c>
      <c r="AE25" s="4">
        <f>_xlfn.STDEV.P(AA25:AC25)</f>
        <v>0.10780641085864105</v>
      </c>
      <c r="AF25" s="5"/>
      <c r="AG25" s="3">
        <v>9.15</v>
      </c>
      <c r="AH25" s="3">
        <v>9.2100000000000009</v>
      </c>
      <c r="AI25" s="3">
        <v>9.08</v>
      </c>
      <c r="AJ25" s="4">
        <f>AVERAGE(AG25:AI25)</f>
        <v>9.1466666666666665</v>
      </c>
      <c r="AK25" s="4">
        <f>_xlfn.STDEV.P(AG25:AI25)</f>
        <v>5.3124591501697745E-2</v>
      </c>
      <c r="AL25" s="5"/>
      <c r="AM25" s="3">
        <v>6.2</v>
      </c>
      <c r="AN25" s="3">
        <v>6.12</v>
      </c>
      <c r="AO25" s="3">
        <v>6.05</v>
      </c>
      <c r="AP25" s="4">
        <f>AVERAGE(AM25:AO25)</f>
        <v>6.123333333333334</v>
      </c>
      <c r="AQ25" s="4">
        <f>_xlfn.STDEV.P(AM25:AO25)</f>
        <v>6.1282587702834262E-2</v>
      </c>
      <c r="AR25" s="5"/>
      <c r="AS25" s="1"/>
      <c r="AT25" s="1"/>
      <c r="AU25" s="1"/>
    </row>
    <row r="26" spans="1:47" ht="15.75">
      <c r="A26" s="2" t="s">
        <v>30</v>
      </c>
      <c r="B26" s="3">
        <v>8.16</v>
      </c>
      <c r="C26" s="3">
        <v>8.08</v>
      </c>
      <c r="D26" s="3">
        <v>7.93</v>
      </c>
      <c r="E26" s="4">
        <f>AVERAGE(B26:D26)</f>
        <v>8.0566666666666666</v>
      </c>
      <c r="F26" s="4">
        <f>_xlfn.STDEV.P(B26:D26)</f>
        <v>9.5335664307167459E-2</v>
      </c>
      <c r="G26" s="3"/>
      <c r="H26" s="3">
        <v>9.4700000000000006</v>
      </c>
      <c r="I26" s="3">
        <v>9.49</v>
      </c>
      <c r="J26" s="3">
        <v>9.36</v>
      </c>
      <c r="K26" s="4">
        <f>AVERAGE(H26:J26)</f>
        <v>9.44</v>
      </c>
      <c r="L26" s="4">
        <f>_xlfn.STDEV.P(H26:J26)</f>
        <v>5.7154760664941261E-2</v>
      </c>
      <c r="M26" s="5"/>
      <c r="N26" s="3">
        <v>7.66</v>
      </c>
      <c r="O26" s="3">
        <v>7.59</v>
      </c>
      <c r="P26" s="3">
        <v>7.72</v>
      </c>
      <c r="Q26" s="4">
        <f>AVERAGE(N26:P26)</f>
        <v>7.6566666666666663</v>
      </c>
      <c r="R26" s="4">
        <f>_xlfn.STDEV.P(N26:P26)</f>
        <v>5.3124591501697391E-2</v>
      </c>
      <c r="S26" s="5"/>
      <c r="T26" s="1"/>
      <c r="U26" s="1"/>
      <c r="V26" s="1"/>
      <c r="W26" s="1"/>
      <c r="X26" s="1"/>
      <c r="Y26" s="1"/>
      <c r="Z26" s="2" t="s">
        <v>30</v>
      </c>
      <c r="AA26" s="3">
        <v>8.4499999999999993</v>
      </c>
      <c r="AB26" s="3">
        <v>7.91</v>
      </c>
      <c r="AC26" s="3">
        <v>7.94</v>
      </c>
      <c r="AD26" s="4">
        <f>AVERAGE(AA26:AC26)</f>
        <v>8.1</v>
      </c>
      <c r="AE26" s="4">
        <f>_xlfn.STDEV.P(AA26:AC26)</f>
        <v>0.24779023386727692</v>
      </c>
      <c r="AF26" s="5"/>
      <c r="AG26" s="3">
        <v>9.25</v>
      </c>
      <c r="AH26" s="3">
        <v>9.3000000000000007</v>
      </c>
      <c r="AI26" s="3">
        <v>8.9700000000000006</v>
      </c>
      <c r="AJ26" s="4">
        <f>AVERAGE(AG26:AI26)</f>
        <v>9.1733333333333338</v>
      </c>
      <c r="AK26" s="4">
        <f>_xlfn.STDEV.P(AG26:AI26)</f>
        <v>0.14522013940527967</v>
      </c>
      <c r="AL26" s="5"/>
      <c r="AM26" s="3">
        <v>7.52</v>
      </c>
      <c r="AN26" s="3">
        <v>7.08</v>
      </c>
      <c r="AO26" s="3">
        <v>7.43</v>
      </c>
      <c r="AP26" s="4">
        <f>AVERAGE(AM26:AO26)</f>
        <v>7.3433333333333337</v>
      </c>
      <c r="AQ26" s="4">
        <f>_xlfn.STDEV.P(AM26:AO26)</f>
        <v>0.18979521127315657</v>
      </c>
      <c r="AR26" s="5"/>
      <c r="AS26" s="1"/>
      <c r="AT26" s="1"/>
      <c r="AU26" s="1"/>
    </row>
    <row r="27" spans="1:47" ht="15.75">
      <c r="A27" s="2" t="s">
        <v>31</v>
      </c>
      <c r="B27" s="3">
        <v>8.23</v>
      </c>
      <c r="C27" s="3">
        <v>7.96</v>
      </c>
      <c r="D27" s="3">
        <v>7.63</v>
      </c>
      <c r="E27" s="4">
        <f>AVERAGE(B27:D27)</f>
        <v>7.94</v>
      </c>
      <c r="F27" s="4">
        <f>_xlfn.STDEV.P(B27:D27)</f>
        <v>0.24535688292770616</v>
      </c>
      <c r="G27" s="3"/>
      <c r="H27" s="3">
        <v>9.6</v>
      </c>
      <c r="I27" s="3">
        <v>9.65</v>
      </c>
      <c r="J27" s="3">
        <v>9.6300000000000008</v>
      </c>
      <c r="K27" s="4">
        <f>AVERAGE(H27:J27)</f>
        <v>9.6266666666666669</v>
      </c>
      <c r="L27" s="4">
        <f>_xlfn.STDEV.P(H27:J27)</f>
        <v>2.0548046676563583E-2</v>
      </c>
      <c r="M27" s="5"/>
      <c r="N27" s="3">
        <v>7.9</v>
      </c>
      <c r="O27" s="3">
        <v>7.85</v>
      </c>
      <c r="P27" s="3">
        <v>8.0500000000000007</v>
      </c>
      <c r="Q27" s="4">
        <f>AVERAGE(N27:P27)</f>
        <v>7.9333333333333336</v>
      </c>
      <c r="R27" s="4">
        <f>_xlfn.STDEV.P(N27:P27)</f>
        <v>8.4983658559880146E-2</v>
      </c>
      <c r="S27" s="5"/>
      <c r="T27" s="1"/>
      <c r="U27" s="1"/>
      <c r="V27" s="1"/>
      <c r="W27" s="1"/>
      <c r="X27" s="1"/>
      <c r="Y27" s="1"/>
      <c r="Z27" s="2" t="s">
        <v>31</v>
      </c>
      <c r="AA27" s="3">
        <v>8.01</v>
      </c>
      <c r="AB27" s="3">
        <v>8.2100000000000009</v>
      </c>
      <c r="AC27" s="3">
        <v>8.2200000000000006</v>
      </c>
      <c r="AD27" s="4">
        <f>AVERAGE(AA27:AC27)</f>
        <v>8.1466666666666665</v>
      </c>
      <c r="AE27" s="4">
        <f>_xlfn.STDEV.P(AA27:AC27)</f>
        <v>9.6724120856979845E-2</v>
      </c>
      <c r="AF27" s="5"/>
      <c r="AG27" s="3">
        <v>8.7100000000000009</v>
      </c>
      <c r="AH27" s="3">
        <v>8.9</v>
      </c>
      <c r="AI27" s="3">
        <v>9.07</v>
      </c>
      <c r="AJ27" s="4">
        <f>AVERAGE(AG27:AI27)</f>
        <v>8.8933333333333326</v>
      </c>
      <c r="AK27" s="4">
        <f>_xlfn.STDEV.P(AG27:AI27)</f>
        <v>0.14704496666741829</v>
      </c>
      <c r="AL27" s="5"/>
      <c r="AM27" s="3">
        <v>7.58</v>
      </c>
      <c r="AN27" s="3">
        <v>7.34</v>
      </c>
      <c r="AO27" s="3">
        <v>7.54</v>
      </c>
      <c r="AP27" s="4">
        <f>AVERAGE(AM27:AO27)</f>
        <v>7.4866666666666672</v>
      </c>
      <c r="AQ27" s="4">
        <f>_xlfn.STDEV.P(AM27:AO27)</f>
        <v>0.10498677165349092</v>
      </c>
      <c r="AR27" s="5"/>
      <c r="AS27" s="1"/>
      <c r="AT27" s="1"/>
      <c r="AU27" s="1"/>
    </row>
    <row r="28" spans="1:47" ht="15.75">
      <c r="A28" s="2" t="s">
        <v>32</v>
      </c>
      <c r="B28" s="3">
        <v>8.14</v>
      </c>
      <c r="C28" s="3">
        <v>8.1199999999999992</v>
      </c>
      <c r="D28" s="3">
        <v>8.08</v>
      </c>
      <c r="E28" s="4">
        <f>AVERAGE(B28:D28)</f>
        <v>8.1133333333333315</v>
      </c>
      <c r="F28" s="4">
        <f>_xlfn.STDEV.P(B28:D28)</f>
        <v>2.4944382578493043E-2</v>
      </c>
      <c r="G28" s="3"/>
      <c r="H28" s="3">
        <v>9.3000000000000007</v>
      </c>
      <c r="I28" s="3">
        <v>9.32</v>
      </c>
      <c r="J28" s="3">
        <v>9.3699999999999992</v>
      </c>
      <c r="K28" s="4">
        <f>AVERAGE(H28:J28)</f>
        <v>9.33</v>
      </c>
      <c r="L28" s="4">
        <f>_xlfn.STDEV.P(H28:J28)</f>
        <v>2.9439202887758861E-2</v>
      </c>
      <c r="M28" s="5"/>
      <c r="N28" s="3">
        <v>7.46</v>
      </c>
      <c r="O28" s="3">
        <v>7.69</v>
      </c>
      <c r="P28" s="3">
        <v>7.48</v>
      </c>
      <c r="Q28" s="4">
        <f>AVERAGE(N28:P28)</f>
        <v>7.5433333333333339</v>
      </c>
      <c r="R28" s="4">
        <f>_xlfn.STDEV.P(N28:P28)</f>
        <v>0.10402991022884833</v>
      </c>
      <c r="S28" s="5"/>
      <c r="T28" s="1"/>
      <c r="U28" s="1"/>
      <c r="V28" s="1"/>
      <c r="W28" s="1"/>
      <c r="X28" s="1"/>
      <c r="Y28" s="1"/>
      <c r="Z28" s="2" t="s">
        <v>32</v>
      </c>
      <c r="AA28" s="3">
        <v>8.17</v>
      </c>
      <c r="AB28" s="3">
        <v>8.2100000000000009</v>
      </c>
      <c r="AC28" s="3">
        <v>8.18</v>
      </c>
      <c r="AD28" s="4">
        <f>AVERAGE(AA28:AC28)</f>
        <v>8.1866666666666674</v>
      </c>
      <c r="AE28" s="4">
        <f>_xlfn.STDEV.P(AA28:AC28)</f>
        <v>1.6996731711976399E-2</v>
      </c>
      <c r="AF28" s="5"/>
      <c r="AG28" s="3">
        <v>8.74</v>
      </c>
      <c r="AH28" s="3">
        <v>8.67</v>
      </c>
      <c r="AI28" s="3">
        <v>8.81</v>
      </c>
      <c r="AJ28" s="4">
        <f>AVERAGE(AG28:AI28)</f>
        <v>8.74</v>
      </c>
      <c r="AK28" s="4">
        <f>_xlfn.STDEV.P(AG28:AI28)</f>
        <v>5.7154760664941053E-2</v>
      </c>
      <c r="AL28" s="5"/>
      <c r="AM28" s="3">
        <v>7.15</v>
      </c>
      <c r="AN28" s="3">
        <v>7.36</v>
      </c>
      <c r="AO28" s="3">
        <v>7.34</v>
      </c>
      <c r="AP28" s="4">
        <f>AVERAGE(AM28:AO28)</f>
        <v>7.2833333333333341</v>
      </c>
      <c r="AQ28" s="4">
        <f>_xlfn.STDEV.P(AM28:AO28)</f>
        <v>9.4633797110522486E-2</v>
      </c>
      <c r="AR28" s="5"/>
      <c r="AS28" s="1"/>
      <c r="AT28" s="1"/>
      <c r="AU28" s="1"/>
    </row>
    <row r="29" spans="1:47" ht="15.75">
      <c r="A29" s="2" t="s">
        <v>33</v>
      </c>
      <c r="B29" s="3">
        <v>8.1</v>
      </c>
      <c r="C29" s="3">
        <v>8.1999999999999993</v>
      </c>
      <c r="D29" s="3">
        <v>8.18</v>
      </c>
      <c r="E29" s="4">
        <f>AVERAGE(B29:D29)</f>
        <v>8.1599999999999984</v>
      </c>
      <c r="F29" s="4">
        <f>_xlfn.STDEV.P(B29:D29)</f>
        <v>4.3204937989385635E-2</v>
      </c>
      <c r="G29" s="3"/>
      <c r="H29" s="3">
        <v>9.81</v>
      </c>
      <c r="I29" s="3">
        <v>9.41</v>
      </c>
      <c r="J29" s="3">
        <v>9.5500000000000007</v>
      </c>
      <c r="K29" s="4">
        <f>AVERAGE(H29:J29)</f>
        <v>9.59</v>
      </c>
      <c r="L29" s="4">
        <f>_xlfn.STDEV.P(H29:J29)</f>
        <v>0.16573070526208084</v>
      </c>
      <c r="M29" s="5"/>
      <c r="N29" s="3">
        <v>7.51</v>
      </c>
      <c r="O29" s="3">
        <v>7.46</v>
      </c>
      <c r="P29" s="3">
        <v>7.5</v>
      </c>
      <c r="Q29" s="4">
        <f>AVERAGE(N29:P29)</f>
        <v>7.4899999999999993</v>
      </c>
      <c r="R29" s="4">
        <f>_xlfn.STDEV.P(N29:P29)</f>
        <v>2.1602468994692817E-2</v>
      </c>
      <c r="S29" s="5"/>
      <c r="T29" s="1"/>
      <c r="U29" s="1"/>
      <c r="V29" s="1"/>
      <c r="W29" s="1"/>
      <c r="X29" s="1"/>
      <c r="Y29" s="1"/>
      <c r="Z29" s="2" t="s">
        <v>33</v>
      </c>
      <c r="AA29" s="3">
        <v>7.95</v>
      </c>
      <c r="AB29" s="3">
        <v>8.2799999999999994</v>
      </c>
      <c r="AC29" s="3">
        <v>8.18</v>
      </c>
      <c r="AD29" s="4">
        <f>AVERAGE(AA29:AC29)</f>
        <v>8.1366666666666667</v>
      </c>
      <c r="AE29" s="4">
        <f>_xlfn.STDEV.P(AA29:AC29)</f>
        <v>0.13816254517375104</v>
      </c>
      <c r="AF29" s="5"/>
      <c r="AG29" s="3">
        <v>9.19</v>
      </c>
      <c r="AH29" s="3">
        <v>9.2200000000000006</v>
      </c>
      <c r="AI29" s="3">
        <v>8.99</v>
      </c>
      <c r="AJ29" s="4">
        <f>AVERAGE(AG29:AI29)</f>
        <v>9.1333333333333329</v>
      </c>
      <c r="AK29" s="4">
        <f>_xlfn.STDEV.P(AG29:AI29)</f>
        <v>0.10208928554075702</v>
      </c>
      <c r="AL29" s="5"/>
      <c r="AM29" s="3">
        <v>7.33</v>
      </c>
      <c r="AN29" s="3">
        <v>7.23</v>
      </c>
      <c r="AO29" s="3">
        <v>7.26</v>
      </c>
      <c r="AP29" s="4">
        <f>AVERAGE(AM29:AO29)</f>
        <v>7.2733333333333334</v>
      </c>
      <c r="AQ29" s="4">
        <f>_xlfn.STDEV.P(AM29:AO29)</f>
        <v>4.1899350299921694E-2</v>
      </c>
      <c r="AR29" s="5"/>
      <c r="AS29" s="1"/>
      <c r="AT29" s="1"/>
      <c r="AU29" s="1"/>
    </row>
    <row r="30" spans="1:47" ht="15.75">
      <c r="A30" s="2" t="s">
        <v>34</v>
      </c>
      <c r="B30" s="3">
        <v>8.2200000000000006</v>
      </c>
      <c r="C30" s="3">
        <v>8.0299999999999994</v>
      </c>
      <c r="D30" s="3">
        <v>8.1300000000000008</v>
      </c>
      <c r="E30" s="4">
        <f>AVERAGE(B30:D30)</f>
        <v>8.1266666666666669</v>
      </c>
      <c r="F30" s="4">
        <f>_xlfn.STDEV.P(B30:D30)</f>
        <v>7.7602978178819296E-2</v>
      </c>
      <c r="G30" s="3"/>
      <c r="H30" s="3">
        <v>7.78</v>
      </c>
      <c r="I30" s="3">
        <v>7.79</v>
      </c>
      <c r="J30" s="3">
        <v>7.85</v>
      </c>
      <c r="K30" s="4">
        <f>AVERAGE(H30:J30)</f>
        <v>7.8066666666666675</v>
      </c>
      <c r="L30" s="4">
        <f>_xlfn.STDEV.P(H30:J30)</f>
        <v>3.0912061651652105E-2</v>
      </c>
      <c r="M30" s="5"/>
      <c r="N30" s="3">
        <v>7.56</v>
      </c>
      <c r="O30" s="3">
        <v>7.39</v>
      </c>
      <c r="P30" s="3">
        <v>7.4</v>
      </c>
      <c r="Q30" s="4">
        <f>AVERAGE(N30:P30)</f>
        <v>7.45</v>
      </c>
      <c r="R30" s="4">
        <f>_xlfn.STDEV.P(N30:P30)</f>
        <v>7.7888809636985981E-2</v>
      </c>
      <c r="S30" s="5"/>
      <c r="T30" s="1"/>
      <c r="U30" s="1"/>
      <c r="V30" s="1"/>
      <c r="W30" s="1"/>
      <c r="X30" s="1"/>
      <c r="Y30" s="1"/>
      <c r="Z30" s="2" t="s">
        <v>34</v>
      </c>
      <c r="AA30" s="3">
        <v>8.1</v>
      </c>
      <c r="AB30" s="3">
        <v>7.91</v>
      </c>
      <c r="AC30" s="3">
        <v>7.95</v>
      </c>
      <c r="AD30" s="4">
        <f>AVERAGE(AA30:AC30)</f>
        <v>7.9866666666666655</v>
      </c>
      <c r="AE30" s="4">
        <f>_xlfn.STDEV.P(AA30:AC30)</f>
        <v>8.1785627642568415E-2</v>
      </c>
      <c r="AF30" s="5"/>
      <c r="AG30" s="3">
        <v>8.01</v>
      </c>
      <c r="AH30" s="3">
        <v>8.14</v>
      </c>
      <c r="AI30" s="3">
        <v>8.07</v>
      </c>
      <c r="AJ30" s="4">
        <f>AVERAGE(AG30:AI30)</f>
        <v>8.0733333333333324</v>
      </c>
      <c r="AK30" s="4">
        <f>_xlfn.STDEV.P(AG30:AI30)</f>
        <v>5.3124591501697738E-2</v>
      </c>
      <c r="AL30" s="5"/>
      <c r="AM30" s="3">
        <v>7.4</v>
      </c>
      <c r="AN30" s="3">
        <v>7.26</v>
      </c>
      <c r="AO30" s="3">
        <v>7.34</v>
      </c>
      <c r="AP30" s="4">
        <f>AVERAGE(AM30:AO30)</f>
        <v>7.333333333333333</v>
      </c>
      <c r="AQ30" s="4">
        <f>_xlfn.STDEV.P(AM30:AO30)</f>
        <v>5.7348835113617734E-2</v>
      </c>
      <c r="AR30" s="5"/>
      <c r="AS30" s="1"/>
      <c r="AT30" s="1"/>
      <c r="AU30" s="1"/>
    </row>
    <row r="31" spans="1:47" ht="15.75">
      <c r="A31" s="2" t="s">
        <v>35</v>
      </c>
      <c r="B31" s="3">
        <v>8.14</v>
      </c>
      <c r="C31" s="3">
        <v>8.11</v>
      </c>
      <c r="D31" s="3">
        <v>8.07</v>
      </c>
      <c r="E31" s="4">
        <f>AVERAGE(B31:D31)</f>
        <v>8.1066666666666674</v>
      </c>
      <c r="F31" s="4">
        <f>_xlfn.STDEV.P(B31:D31)</f>
        <v>2.8674417556808836E-2</v>
      </c>
      <c r="G31" s="3"/>
      <c r="H31" s="3">
        <v>7.91</v>
      </c>
      <c r="I31" s="3">
        <v>8</v>
      </c>
      <c r="J31" s="3">
        <v>8.0399999999999991</v>
      </c>
      <c r="K31" s="4">
        <f>AVERAGE(H31:J31)</f>
        <v>7.9833333333333334</v>
      </c>
      <c r="L31" s="4">
        <f>_xlfn.STDEV.P(H31:J31)</f>
        <v>5.4365021434333277E-2</v>
      </c>
      <c r="M31" s="5"/>
      <c r="N31" s="3">
        <v>7.3</v>
      </c>
      <c r="O31" s="3">
        <v>7.23</v>
      </c>
      <c r="P31" s="3">
        <v>7.19</v>
      </c>
      <c r="Q31" s="4">
        <f>AVERAGE(N31:P31)</f>
        <v>7.2400000000000011</v>
      </c>
      <c r="R31" s="4">
        <f>_xlfn.STDEV.P(N31:P31)</f>
        <v>4.5460605656619267E-2</v>
      </c>
      <c r="S31" s="5"/>
      <c r="T31" s="1"/>
      <c r="U31" s="1"/>
      <c r="V31" s="1"/>
      <c r="W31" s="1"/>
      <c r="X31" s="1"/>
      <c r="Y31" s="1"/>
      <c r="Z31" s="2" t="s">
        <v>35</v>
      </c>
      <c r="AA31" s="3">
        <v>8.17</v>
      </c>
      <c r="AB31" s="3">
        <v>8.2100000000000009</v>
      </c>
      <c r="AC31" s="3">
        <v>8.09</v>
      </c>
      <c r="AD31" s="4">
        <f>AVERAGE(AA31:AC31)</f>
        <v>8.1566666666666681</v>
      </c>
      <c r="AE31" s="4">
        <f>_xlfn.STDEV.P(AA31:AC31)</f>
        <v>4.9888765156986245E-2</v>
      </c>
      <c r="AF31" s="5"/>
      <c r="AG31" s="3">
        <v>8.1300000000000008</v>
      </c>
      <c r="AH31" s="3">
        <v>8.09</v>
      </c>
      <c r="AI31" s="3">
        <v>7.95</v>
      </c>
      <c r="AJ31" s="4">
        <f>AVERAGE(AG31:AI31)</f>
        <v>8.0566666666666666</v>
      </c>
      <c r="AK31" s="4">
        <f>_xlfn.STDEV.P(AG31:AI31)</f>
        <v>7.7172246018601648E-2</v>
      </c>
      <c r="AL31" s="5"/>
      <c r="AM31" s="3">
        <v>7.07</v>
      </c>
      <c r="AN31" s="3">
        <v>6.96</v>
      </c>
      <c r="AO31" s="3">
        <v>7.02</v>
      </c>
      <c r="AP31" s="4">
        <f>AVERAGE(AM31:AO31)</f>
        <v>7.0166666666666666</v>
      </c>
      <c r="AQ31" s="4">
        <f>_xlfn.STDEV.P(AM31:AO31)</f>
        <v>4.4969125210773592E-2</v>
      </c>
      <c r="AR31" s="5"/>
      <c r="AS31" s="1"/>
      <c r="AT31" s="1"/>
      <c r="AU31" s="1"/>
    </row>
    <row r="32" spans="1:47" ht="15.75">
      <c r="A32" s="2" t="s">
        <v>36</v>
      </c>
      <c r="B32" s="3">
        <v>7.98</v>
      </c>
      <c r="C32" s="3">
        <v>7.97</v>
      </c>
      <c r="D32" s="3">
        <v>7.89</v>
      </c>
      <c r="E32" s="4">
        <f>AVERAGE(B32:D32)</f>
        <v>7.9466666666666663</v>
      </c>
      <c r="F32" s="4">
        <f>_xlfn.STDEV.P(B32:D32)</f>
        <v>4.0276819911982127E-2</v>
      </c>
      <c r="G32" s="3"/>
      <c r="H32" s="3">
        <v>7.8</v>
      </c>
      <c r="I32" s="3">
        <v>7.78</v>
      </c>
      <c r="J32" s="3">
        <v>7.95</v>
      </c>
      <c r="K32" s="4">
        <f>AVERAGE(H32:J32)</f>
        <v>7.8433333333333337</v>
      </c>
      <c r="L32" s="4">
        <f>_xlfn.STDEV.P(H32:J32)</f>
        <v>7.5865377844940324E-2</v>
      </c>
      <c r="M32" s="5"/>
      <c r="N32" s="3">
        <v>7.3</v>
      </c>
      <c r="O32" s="3">
        <v>7.2</v>
      </c>
      <c r="P32" s="3">
        <v>7.18</v>
      </c>
      <c r="Q32" s="4">
        <f>AVERAGE(N32:P32)</f>
        <v>7.2266666666666666</v>
      </c>
      <c r="R32" s="4">
        <f>_xlfn.STDEV.P(N32:P32)</f>
        <v>5.2493385826745377E-2</v>
      </c>
      <c r="S32" s="5"/>
      <c r="T32" s="1"/>
      <c r="U32" s="1"/>
      <c r="V32" s="1"/>
      <c r="W32" s="1"/>
      <c r="X32" s="1"/>
      <c r="Y32" s="1"/>
      <c r="Z32" s="2" t="s">
        <v>36</v>
      </c>
      <c r="AA32" s="3">
        <v>8.34</v>
      </c>
      <c r="AB32" s="3">
        <v>8.11</v>
      </c>
      <c r="AC32" s="3">
        <v>8.26</v>
      </c>
      <c r="AD32" s="4">
        <f>AVERAGE(AA32:AC32)</f>
        <v>8.2366666666666664</v>
      </c>
      <c r="AE32" s="4">
        <f>_xlfn.STDEV.P(AA32:AC32)</f>
        <v>9.5335664307167459E-2</v>
      </c>
      <c r="AF32" s="5"/>
      <c r="AG32" s="3">
        <v>7.98</v>
      </c>
      <c r="AH32" s="3">
        <v>8.0399999999999991</v>
      </c>
      <c r="AI32" s="3">
        <v>8.08</v>
      </c>
      <c r="AJ32" s="4">
        <f>AVERAGE(AG32:AI32)</f>
        <v>8.0333333333333332</v>
      </c>
      <c r="AK32" s="4">
        <f>_xlfn.STDEV.P(AG32:AI32)</f>
        <v>4.1096093353126306E-2</v>
      </c>
      <c r="AL32" s="5"/>
      <c r="AM32" s="3">
        <v>7.53</v>
      </c>
      <c r="AN32" s="3">
        <v>7.43</v>
      </c>
      <c r="AO32" s="3">
        <v>7.61</v>
      </c>
      <c r="AP32" s="4">
        <f>AVERAGE(AM32:AO32)</f>
        <v>7.5233333333333334</v>
      </c>
      <c r="AQ32" s="4">
        <f>_xlfn.STDEV.P(AM32:AO32)</f>
        <v>7.3635740114581988E-2</v>
      </c>
      <c r="AR32" s="5"/>
      <c r="AS32" s="1"/>
      <c r="AT32" s="1"/>
      <c r="AU32" s="1"/>
    </row>
    <row r="33" spans="1:47" ht="15.75">
      <c r="A33" s="2" t="s">
        <v>37</v>
      </c>
      <c r="B33" s="3">
        <v>8.15</v>
      </c>
      <c r="C33" s="3">
        <v>8.0399999999999991</v>
      </c>
      <c r="D33" s="3">
        <v>8.34</v>
      </c>
      <c r="E33" s="4">
        <f>AVERAGE(B33:D33)</f>
        <v>8.1766666666666659</v>
      </c>
      <c r="F33" s="4">
        <f>_xlfn.STDEV.P(B33:D33)</f>
        <v>0.12391753530294092</v>
      </c>
      <c r="G33" s="3"/>
      <c r="H33" s="3">
        <v>7.49</v>
      </c>
      <c r="I33" s="3">
        <v>7.7</v>
      </c>
      <c r="J33" s="3">
        <v>7.76</v>
      </c>
      <c r="K33" s="4">
        <f>AVERAGE(H33:J33)</f>
        <v>7.6500000000000012</v>
      </c>
      <c r="L33" s="4">
        <f>_xlfn.STDEV.P(H33:J33)</f>
        <v>0.11575836902790211</v>
      </c>
      <c r="M33" s="5"/>
      <c r="N33" s="3">
        <v>7.33</v>
      </c>
      <c r="O33" s="3">
        <v>7.31</v>
      </c>
      <c r="P33" s="3">
        <v>7.35</v>
      </c>
      <c r="Q33" s="4">
        <f>AVERAGE(N33:P33)</f>
        <v>7.330000000000001</v>
      </c>
      <c r="R33" s="4">
        <f>_xlfn.STDEV.P(N33:P33)</f>
        <v>1.6329931618554536E-2</v>
      </c>
      <c r="S33" s="5"/>
      <c r="T33" s="1"/>
      <c r="U33" s="1"/>
      <c r="V33" s="1"/>
      <c r="W33" s="1"/>
      <c r="X33" s="1"/>
      <c r="Y33" s="1"/>
      <c r="Z33" s="2" t="s">
        <v>37</v>
      </c>
      <c r="AA33" s="3">
        <v>8.1999999999999993</v>
      </c>
      <c r="AB33" s="3">
        <v>7.85</v>
      </c>
      <c r="AC33" s="3">
        <v>7.78</v>
      </c>
      <c r="AD33" s="4">
        <f>AVERAGE(AA33:AC33)</f>
        <v>7.9433333333333325</v>
      </c>
      <c r="AE33" s="4">
        <f>_xlfn.STDEV.P(AA33:AC33)</f>
        <v>0.18372685039360859</v>
      </c>
      <c r="AF33" s="5"/>
      <c r="AG33" s="3">
        <v>7.3</v>
      </c>
      <c r="AH33" s="3">
        <v>7.93</v>
      </c>
      <c r="AI33" s="3">
        <v>7.78</v>
      </c>
      <c r="AJ33" s="4">
        <f>AVERAGE(AG33:AI33)</f>
        <v>7.6700000000000008</v>
      </c>
      <c r="AK33" s="4">
        <f>_xlfn.STDEV.P(AG33:AI33)</f>
        <v>0.26870057685088811</v>
      </c>
      <c r="AL33" s="5"/>
      <c r="AM33" s="3">
        <v>6.67</v>
      </c>
      <c r="AN33" s="3">
        <v>7.34</v>
      </c>
      <c r="AO33" s="3">
        <v>6.69</v>
      </c>
      <c r="AP33" s="4">
        <f>AVERAGE(AM33:AO33)</f>
        <v>6.8999999999999995</v>
      </c>
      <c r="AQ33" s="4">
        <f>_xlfn.STDEV.P(AM33:AO33)</f>
        <v>0.3112341026729985</v>
      </c>
      <c r="AR33" s="5"/>
      <c r="AS33" s="1"/>
      <c r="AT33" s="1"/>
      <c r="AU33" s="1"/>
    </row>
    <row r="34" spans="1:47" ht="15.75">
      <c r="A34" s="2" t="s">
        <v>38</v>
      </c>
      <c r="B34" s="3">
        <v>9.48</v>
      </c>
      <c r="C34" s="3">
        <v>9.6</v>
      </c>
      <c r="D34" s="3">
        <v>9.76</v>
      </c>
      <c r="E34" s="4">
        <f>AVERAGE(B34:D34)</f>
        <v>9.6133333333333315</v>
      </c>
      <c r="F34" s="4">
        <f>_xlfn.STDEV.P(B34:D34)</f>
        <v>0.11469767022723477</v>
      </c>
      <c r="G34" s="3"/>
      <c r="H34" s="3">
        <v>7.69</v>
      </c>
      <c r="I34" s="3">
        <v>6.68</v>
      </c>
      <c r="J34" s="3">
        <v>6.71</v>
      </c>
      <c r="K34" s="4">
        <f>AVERAGE(H34:J34)</f>
        <v>7.0266666666666673</v>
      </c>
      <c r="L34" s="4">
        <f>_xlfn.STDEV.P(H34:J34)</f>
        <v>0.46920736945998176</v>
      </c>
      <c r="M34" s="5"/>
      <c r="N34" s="3">
        <v>7.94</v>
      </c>
      <c r="O34" s="3">
        <v>7.97</v>
      </c>
      <c r="P34" s="3">
        <v>7.97</v>
      </c>
      <c r="Q34" s="4">
        <f>AVERAGE(N34:P34)</f>
        <v>7.96</v>
      </c>
      <c r="R34" s="4">
        <f>_xlfn.STDEV.P(N34:P34)</f>
        <v>1.4142135623730649E-2</v>
      </c>
      <c r="S34" s="5"/>
      <c r="T34" s="1"/>
      <c r="U34" s="1"/>
      <c r="V34" s="1"/>
      <c r="W34" s="1"/>
      <c r="X34" s="1"/>
      <c r="Y34" s="1"/>
      <c r="Z34" s="2" t="s">
        <v>38</v>
      </c>
      <c r="AA34" s="3">
        <v>9.23</v>
      </c>
      <c r="AB34" s="3">
        <v>9.17</v>
      </c>
      <c r="AC34" s="3">
        <v>9.5399999999999991</v>
      </c>
      <c r="AD34" s="4">
        <f>AVERAGE(AA34:AC34)</f>
        <v>9.3133333333333326</v>
      </c>
      <c r="AE34" s="4">
        <f>_xlfn.STDEV.P(AA34:AC34)</f>
        <v>0.16213848676020368</v>
      </c>
      <c r="AF34" s="5"/>
      <c r="AG34" s="3">
        <v>6.34</v>
      </c>
      <c r="AH34" s="3">
        <v>6.51</v>
      </c>
      <c r="AI34" s="3">
        <v>6.48</v>
      </c>
      <c r="AJ34" s="4">
        <f>AVERAGE(AG34:AI34)</f>
        <v>6.4433333333333325</v>
      </c>
      <c r="AK34" s="4">
        <f>_xlfn.STDEV.P(AG34:AI34)</f>
        <v>7.40870359029763E-2</v>
      </c>
      <c r="AL34" s="5"/>
      <c r="AM34" s="3">
        <v>7.73</v>
      </c>
      <c r="AN34" s="3">
        <v>7.91</v>
      </c>
      <c r="AO34" s="3">
        <v>7.65</v>
      </c>
      <c r="AP34" s="4">
        <f>AVERAGE(AM34:AO34)</f>
        <v>7.7633333333333328</v>
      </c>
      <c r="AQ34" s="4">
        <f>_xlfn.STDEV.P(AM34:AO34)</f>
        <v>0.10873004286866718</v>
      </c>
      <c r="AR34" s="5"/>
      <c r="AS34" s="1"/>
      <c r="AT34" s="1"/>
      <c r="AU34" s="1"/>
    </row>
    <row r="35" spans="1:47" ht="15.75">
      <c r="A35" s="2" t="s">
        <v>39</v>
      </c>
      <c r="B35" s="3">
        <v>9.32</v>
      </c>
      <c r="C35" s="3">
        <v>9.39</v>
      </c>
      <c r="D35" s="3">
        <v>9.3000000000000007</v>
      </c>
      <c r="E35" s="4">
        <f>AVERAGE(B35:D35)</f>
        <v>9.3366666666666678</v>
      </c>
      <c r="F35" s="4">
        <f>_xlfn.STDEV.P(B35:D35)</f>
        <v>3.8586123009300748E-2</v>
      </c>
      <c r="G35" s="3"/>
      <c r="H35" s="3">
        <v>7.86</v>
      </c>
      <c r="I35" s="3">
        <v>7.59</v>
      </c>
      <c r="J35" s="3">
        <v>7.45</v>
      </c>
      <c r="K35" s="4">
        <f>AVERAGE(H35:J35)</f>
        <v>7.6333333333333329</v>
      </c>
      <c r="L35" s="4">
        <f>_xlfn.STDEV.P(H35:J35)</f>
        <v>0.17016332024133635</v>
      </c>
      <c r="M35" s="5"/>
      <c r="N35" s="3">
        <v>7.72</v>
      </c>
      <c r="O35" s="3">
        <v>7.71</v>
      </c>
      <c r="P35" s="3">
        <v>7.73</v>
      </c>
      <c r="Q35" s="4">
        <f>AVERAGE(N35:P35)</f>
        <v>7.72</v>
      </c>
      <c r="R35" s="4">
        <f>_xlfn.STDEV.P(N35:P35)</f>
        <v>8.1649658092774486E-3</v>
      </c>
      <c r="S35" s="5"/>
      <c r="T35" s="1"/>
      <c r="U35" s="1"/>
      <c r="V35" s="1"/>
      <c r="W35" s="1"/>
      <c r="X35" s="1"/>
      <c r="Y35" s="1"/>
      <c r="Z35" s="2" t="s">
        <v>39</v>
      </c>
      <c r="AA35" s="3">
        <v>9.1199999999999992</v>
      </c>
      <c r="AB35" s="3">
        <v>9.1999999999999993</v>
      </c>
      <c r="AC35" s="3">
        <v>9.31</v>
      </c>
      <c r="AD35" s="4">
        <f>AVERAGE(AA35:AC35)</f>
        <v>9.2100000000000009</v>
      </c>
      <c r="AE35" s="4">
        <f>_xlfn.STDEV.P(AA35:AC35)</f>
        <v>7.7888809636986689E-2</v>
      </c>
      <c r="AF35" s="5"/>
      <c r="AG35" s="3">
        <v>7.16</v>
      </c>
      <c r="AH35" s="3">
        <v>7.3</v>
      </c>
      <c r="AI35" s="3">
        <v>7.2</v>
      </c>
      <c r="AJ35" s="4">
        <f>AVERAGE(AG35:AI35)</f>
        <v>7.22</v>
      </c>
      <c r="AK35" s="4">
        <f>_xlfn.STDEV.P(AG35:AI35)</f>
        <v>5.8878405775518831E-2</v>
      </c>
      <c r="AL35" s="5"/>
      <c r="AM35" s="3">
        <v>7.36</v>
      </c>
      <c r="AN35" s="3">
        <v>7.25</v>
      </c>
      <c r="AO35" s="3">
        <v>7.26</v>
      </c>
      <c r="AP35" s="4">
        <f>AVERAGE(AM35:AO35)</f>
        <v>7.2899999999999991</v>
      </c>
      <c r="AQ35" s="4">
        <f>_xlfn.STDEV.P(AM35:AO35)</f>
        <v>4.9665548085837993E-2</v>
      </c>
      <c r="AR35" s="5"/>
      <c r="AS35" s="1"/>
      <c r="AT35" s="1"/>
      <c r="AU35" s="1"/>
    </row>
    <row r="36" spans="1:47" ht="15.75">
      <c r="A36" s="2" t="s">
        <v>40</v>
      </c>
      <c r="B36" s="3">
        <v>9.3000000000000007</v>
      </c>
      <c r="C36" s="3">
        <v>9.4</v>
      </c>
      <c r="D36" s="3">
        <v>9.3000000000000007</v>
      </c>
      <c r="E36" s="4">
        <f>AVERAGE(B36:D36)</f>
        <v>9.3333333333333339</v>
      </c>
      <c r="F36" s="4">
        <f>_xlfn.STDEV.P(B36:D36)</f>
        <v>4.7140452079103001E-2</v>
      </c>
      <c r="G36" s="3"/>
      <c r="H36" s="3">
        <v>6.25</v>
      </c>
      <c r="I36" s="3">
        <v>6.45</v>
      </c>
      <c r="J36" s="3">
        <v>6.59</v>
      </c>
      <c r="K36" s="4">
        <f>AVERAGE(H36:J36)</f>
        <v>6.43</v>
      </c>
      <c r="L36" s="4">
        <f>_xlfn.STDEV.P(H36:J36)</f>
        <v>0.13952299690970896</v>
      </c>
      <c r="M36" s="5"/>
      <c r="N36" s="3">
        <v>7.98</v>
      </c>
      <c r="O36" s="3">
        <v>7.69</v>
      </c>
      <c r="P36" s="3">
        <v>7.78</v>
      </c>
      <c r="Q36" s="4">
        <f>AVERAGE(N36:P36)</f>
        <v>7.8166666666666673</v>
      </c>
      <c r="R36" s="4">
        <f>_xlfn.STDEV.P(N36:P36)</f>
        <v>0.12119772641798565</v>
      </c>
      <c r="S36" s="5"/>
      <c r="T36" s="1"/>
      <c r="U36" s="1"/>
      <c r="V36" s="1"/>
      <c r="W36" s="1"/>
      <c r="X36" s="1"/>
      <c r="Y36" s="1"/>
      <c r="Z36" s="2" t="s">
        <v>40</v>
      </c>
      <c r="AA36" s="3">
        <v>9.2799999999999994</v>
      </c>
      <c r="AB36" s="3">
        <v>9.23</v>
      </c>
      <c r="AC36" s="3">
        <v>9.2899999999999991</v>
      </c>
      <c r="AD36" s="4">
        <f>AVERAGE(AA36:AC36)</f>
        <v>9.2666666666666657</v>
      </c>
      <c r="AE36" s="4">
        <f>_xlfn.STDEV.P(AA36:AC36)</f>
        <v>2.6246692913372144E-2</v>
      </c>
      <c r="AF36" s="5"/>
      <c r="AG36" s="3">
        <v>5.98</v>
      </c>
      <c r="AH36" s="3">
        <v>6.33</v>
      </c>
      <c r="AI36" s="3">
        <v>6.33</v>
      </c>
      <c r="AJ36" s="4">
        <f>AVERAGE(AG36:AI36)</f>
        <v>6.2133333333333338</v>
      </c>
      <c r="AK36" s="4">
        <f>_xlfn.STDEV.P(AG36:AI36)</f>
        <v>0.16499158227686092</v>
      </c>
      <c r="AL36" s="5"/>
      <c r="AM36" s="3">
        <v>7.57</v>
      </c>
      <c r="AN36" s="3">
        <v>7.69</v>
      </c>
      <c r="AO36" s="3">
        <v>7.7</v>
      </c>
      <c r="AP36" s="4">
        <f>AVERAGE(AM36:AO36)</f>
        <v>7.6533333333333333</v>
      </c>
      <c r="AQ36" s="4">
        <f>_xlfn.STDEV.P(AM36:AO36)</f>
        <v>5.9066817155564499E-2</v>
      </c>
      <c r="AR36" s="5"/>
      <c r="AS36" s="1"/>
      <c r="AT36" s="1"/>
      <c r="AU36" s="1"/>
    </row>
    <row r="37" spans="1:47" ht="15.75">
      <c r="A37" s="2" t="s">
        <v>41</v>
      </c>
      <c r="B37" s="3">
        <v>9.58</v>
      </c>
      <c r="C37" s="3">
        <v>9.57</v>
      </c>
      <c r="D37" s="3">
        <v>9.4499999999999993</v>
      </c>
      <c r="E37" s="4">
        <f>AVERAGE(B37:D37)</f>
        <v>9.5333333333333332</v>
      </c>
      <c r="F37" s="4">
        <f>_xlfn.STDEV.P(B37:D37)</f>
        <v>5.9066817155564909E-2</v>
      </c>
      <c r="G37" s="3"/>
      <c r="H37" s="3">
        <v>7.25</v>
      </c>
      <c r="I37" s="3">
        <v>7.06</v>
      </c>
      <c r="J37" s="3">
        <v>7.13</v>
      </c>
      <c r="K37" s="4">
        <f>AVERAGE(H37:J37)</f>
        <v>7.1466666666666656</v>
      </c>
      <c r="L37" s="4">
        <f>_xlfn.STDEV.P(H37:J37)</f>
        <v>7.8457348639598939E-2</v>
      </c>
      <c r="M37" s="5"/>
      <c r="N37" s="3">
        <v>7.7</v>
      </c>
      <c r="O37" s="3">
        <v>7.69</v>
      </c>
      <c r="P37" s="3">
        <v>7.81</v>
      </c>
      <c r="Q37" s="4">
        <f>AVERAGE(N37:P37)</f>
        <v>7.7333333333333334</v>
      </c>
      <c r="R37" s="4">
        <f>_xlfn.STDEV.P(N37:P37)</f>
        <v>5.4365021434333312E-2</v>
      </c>
      <c r="S37" s="5"/>
      <c r="T37" s="1"/>
      <c r="U37" s="1"/>
      <c r="V37" s="1"/>
      <c r="W37" s="1"/>
      <c r="X37" s="1"/>
      <c r="Y37" s="1"/>
      <c r="Z37" s="2" t="s">
        <v>41</v>
      </c>
      <c r="AA37" s="3">
        <v>9.44</v>
      </c>
      <c r="AB37" s="3">
        <v>9.25</v>
      </c>
      <c r="AC37" s="3">
        <v>9.27</v>
      </c>
      <c r="AD37" s="4">
        <f>AVERAGE(AA37:AC37)</f>
        <v>9.3199999999999985</v>
      </c>
      <c r="AE37" s="4">
        <f>_xlfn.STDEV.P(AA37:AC37)</f>
        <v>8.524474568362933E-2</v>
      </c>
      <c r="AF37" s="5"/>
      <c r="AG37" s="3">
        <v>7.6</v>
      </c>
      <c r="AH37" s="3">
        <v>7.43</v>
      </c>
      <c r="AI37" s="3">
        <v>7.48</v>
      </c>
      <c r="AJ37" s="4">
        <f>AVERAGE(AG37:AI37)</f>
        <v>7.503333333333333</v>
      </c>
      <c r="AK37" s="4">
        <f>_xlfn.STDEV.P(AG37:AI37)</f>
        <v>7.1336448530108884E-2</v>
      </c>
      <c r="AL37" s="5"/>
      <c r="AM37" s="3">
        <v>7.68</v>
      </c>
      <c r="AN37" s="3">
        <v>7.68</v>
      </c>
      <c r="AO37" s="3">
        <v>7.58</v>
      </c>
      <c r="AP37" s="4">
        <f>AVERAGE(AM37:AO37)</f>
        <v>7.6466666666666656</v>
      </c>
      <c r="AQ37" s="4">
        <f>_xlfn.STDEV.P(AM37:AO37)</f>
        <v>4.7140452079103001E-2</v>
      </c>
      <c r="AR37" s="5"/>
      <c r="AS37" s="1"/>
      <c r="AT37" s="1"/>
      <c r="AU37" s="1"/>
    </row>
    <row r="38" spans="1:47" ht="15.75">
      <c r="A38" s="2" t="s">
        <v>42</v>
      </c>
      <c r="B38" s="1">
        <v>8.1999999999999993</v>
      </c>
      <c r="C38" s="1">
        <v>8.0399999999999991</v>
      </c>
      <c r="D38" s="1">
        <v>8.0299999999999994</v>
      </c>
      <c r="E38" s="4">
        <f>AVERAGE(B38:D38)</f>
        <v>8.0899999999999981</v>
      </c>
      <c r="F38" s="4">
        <f>_xlfn.STDEV.P(B38:D38)</f>
        <v>7.7888809636986162E-2</v>
      </c>
      <c r="G38" s="1"/>
      <c r="H38" s="1">
        <v>9.27</v>
      </c>
      <c r="I38" s="1">
        <v>9</v>
      </c>
      <c r="J38" s="1">
        <v>9.26</v>
      </c>
      <c r="K38" s="4">
        <f>AVERAGE(H38:J38)</f>
        <v>9.1766666666666676</v>
      </c>
      <c r="L38" s="4">
        <f>_xlfn.STDEV.P(H38:J38)</f>
        <v>0.12498888839501768</v>
      </c>
      <c r="M38" s="1"/>
      <c r="N38" s="1">
        <v>6.7</v>
      </c>
      <c r="O38" s="1">
        <v>6.9</v>
      </c>
      <c r="P38" s="1">
        <v>6.78</v>
      </c>
      <c r="Q38" s="4">
        <f>AVERAGE(N38:P38)</f>
        <v>6.7933333333333339</v>
      </c>
      <c r="R38" s="4">
        <f>_xlfn.STDEV.P(N38:P38)</f>
        <v>8.2192186706253098E-2</v>
      </c>
      <c r="S38" s="1"/>
      <c r="T38" s="1">
        <v>7.46</v>
      </c>
      <c r="U38" s="1">
        <v>7.54</v>
      </c>
      <c r="V38" s="1">
        <v>7.46</v>
      </c>
      <c r="W38" s="1"/>
      <c r="X38" s="1"/>
      <c r="Y38" s="1"/>
      <c r="Z38" s="2" t="s">
        <v>42</v>
      </c>
      <c r="AA38" s="1">
        <v>7.73</v>
      </c>
      <c r="AB38" s="1">
        <v>8.1999999999999993</v>
      </c>
      <c r="AC38" s="1">
        <v>7.99</v>
      </c>
      <c r="AD38" s="4">
        <f>AVERAGE(AA38:AC38)</f>
        <v>7.9733333333333336</v>
      </c>
      <c r="AE38" s="4">
        <f>_xlfn.STDEV.P(AA38:AC38)</f>
        <v>0.19223827807061575</v>
      </c>
      <c r="AF38" s="1"/>
      <c r="AG38" s="1">
        <v>9.14</v>
      </c>
      <c r="AH38" s="1">
        <v>9.4499999999999993</v>
      </c>
      <c r="AI38" s="1">
        <v>9.2799999999999994</v>
      </c>
      <c r="AJ38" s="4">
        <f>AVERAGE(AG38:AI38)</f>
        <v>9.2899999999999991</v>
      </c>
      <c r="AK38" s="4">
        <f>_xlfn.STDEV.P(AG38:AI38)</f>
        <v>0.1267543556122098</v>
      </c>
      <c r="AL38" s="1"/>
      <c r="AM38" s="1">
        <v>6.62</v>
      </c>
      <c r="AN38" s="1">
        <v>6.73</v>
      </c>
      <c r="AO38" s="1">
        <v>7</v>
      </c>
      <c r="AP38" s="4">
        <f>AVERAGE(AM38:AO38)</f>
        <v>6.7833333333333341</v>
      </c>
      <c r="AQ38" s="4">
        <f>_xlfn.STDEV.P(AM38:AO38)</f>
        <v>0.15965240019770721</v>
      </c>
      <c r="AR38" s="5"/>
      <c r="AS38" s="1">
        <v>7.11</v>
      </c>
      <c r="AT38" s="1">
        <v>7.34</v>
      </c>
      <c r="AU38" s="1">
        <v>7.46</v>
      </c>
    </row>
    <row r="39" spans="1:47" ht="15.75">
      <c r="A39" s="2" t="s">
        <v>43</v>
      </c>
      <c r="B39" s="1">
        <v>8</v>
      </c>
      <c r="C39" s="1">
        <v>7.9</v>
      </c>
      <c r="D39" s="1">
        <v>8.1</v>
      </c>
      <c r="E39" s="4">
        <f>AVERAGE(B39:D39)</f>
        <v>8</v>
      </c>
      <c r="F39" s="4">
        <f>_xlfn.STDEV.P(B39:D39)</f>
        <v>8.1649658092772318E-2</v>
      </c>
      <c r="G39" s="1"/>
      <c r="H39" s="1">
        <v>8.8000000000000007</v>
      </c>
      <c r="I39" s="1">
        <v>8.9</v>
      </c>
      <c r="J39" s="1">
        <v>9.1999999999999993</v>
      </c>
      <c r="K39" s="4">
        <f>AVERAGE(H39:J39)</f>
        <v>8.9666666666666668</v>
      </c>
      <c r="L39" s="4">
        <f>_xlfn.STDEV.P(H39:J39)</f>
        <v>0.1699673171197589</v>
      </c>
      <c r="M39" s="1"/>
      <c r="N39" s="1">
        <v>6.6</v>
      </c>
      <c r="O39" s="1">
        <v>6.6</v>
      </c>
      <c r="P39" s="1">
        <v>6.5</v>
      </c>
      <c r="Q39" s="4">
        <f>AVERAGE(N39:P39)</f>
        <v>6.5666666666666664</v>
      </c>
      <c r="R39" s="4">
        <f>_xlfn.STDEV.P(N39:P39)</f>
        <v>4.7140452079103001E-2</v>
      </c>
      <c r="S39" s="1"/>
      <c r="T39" s="1">
        <v>7.5</v>
      </c>
      <c r="U39" s="1">
        <v>7.4</v>
      </c>
      <c r="V39" s="1">
        <v>7.5</v>
      </c>
      <c r="W39" s="1"/>
      <c r="X39" s="1"/>
      <c r="Y39" s="1"/>
      <c r="Z39" s="2" t="s">
        <v>43</v>
      </c>
      <c r="AA39" s="1">
        <v>8.08</v>
      </c>
      <c r="AB39" s="1">
        <v>7.69</v>
      </c>
      <c r="AC39" s="1">
        <v>7.89</v>
      </c>
      <c r="AD39" s="4">
        <f>AVERAGE(AA39:AC39)</f>
        <v>7.8866666666666667</v>
      </c>
      <c r="AE39" s="4">
        <f>_xlfn.STDEV.P(AA39:AC39)</f>
        <v>0.15923427883328237</v>
      </c>
      <c r="AF39" s="1"/>
      <c r="AG39" s="1">
        <v>9.18</v>
      </c>
      <c r="AH39" s="1">
        <v>9.09</v>
      </c>
      <c r="AI39" s="1">
        <v>9.2200000000000006</v>
      </c>
      <c r="AJ39" s="4">
        <f>AVERAGE(AG39:AI39)</f>
        <v>9.163333333333334</v>
      </c>
      <c r="AK39" s="4">
        <f>_xlfn.STDEV.P(AG39:AI39)</f>
        <v>5.4365021434333895E-2</v>
      </c>
      <c r="AL39" s="1"/>
      <c r="AM39" s="1">
        <v>6.4</v>
      </c>
      <c r="AN39" s="1">
        <v>6.51</v>
      </c>
      <c r="AO39" s="1">
        <v>6.48</v>
      </c>
      <c r="AP39" s="4">
        <f>AVERAGE(AM39:AO39)</f>
        <v>6.4633333333333338</v>
      </c>
      <c r="AQ39" s="4">
        <f>_xlfn.STDEV.P(AM39:AO39)</f>
        <v>4.6427960923946882E-2</v>
      </c>
      <c r="AR39" s="5"/>
      <c r="AS39" s="1">
        <v>7</v>
      </c>
      <c r="AT39" s="1">
        <v>6.85</v>
      </c>
      <c r="AU39" s="1">
        <v>7.18</v>
      </c>
    </row>
    <row r="40" spans="1:47" ht="15.75">
      <c r="A40" s="2" t="s">
        <v>44</v>
      </c>
      <c r="B40" s="1">
        <v>8.1999999999999993</v>
      </c>
      <c r="C40" s="1">
        <v>7.9</v>
      </c>
      <c r="D40" s="1">
        <v>8.1</v>
      </c>
      <c r="E40" s="4">
        <f>AVERAGE(B40:D40)</f>
        <v>8.0666666666666682</v>
      </c>
      <c r="F40" s="4">
        <f>_xlfn.STDEV.P(B40:D40)</f>
        <v>0.12472191289246427</v>
      </c>
      <c r="G40" s="1"/>
      <c r="H40" s="1">
        <v>9.1</v>
      </c>
      <c r="I40" s="1">
        <v>9.1</v>
      </c>
      <c r="J40" s="1">
        <v>9.5</v>
      </c>
      <c r="K40" s="4">
        <f>AVERAGE(H40:J40)</f>
        <v>9.2333333333333325</v>
      </c>
      <c r="L40" s="4">
        <f>_xlfn.STDEV.P(H40:J40)</f>
        <v>0.18856180831641284</v>
      </c>
      <c r="M40" s="1"/>
      <c r="N40" s="1">
        <v>6.7</v>
      </c>
      <c r="O40" s="1">
        <v>6.7</v>
      </c>
      <c r="P40" s="1">
        <v>6.7</v>
      </c>
      <c r="Q40" s="4">
        <f>AVERAGE(N40:P40)</f>
        <v>6.7</v>
      </c>
      <c r="R40" s="4">
        <f>_xlfn.STDEV.P(N40:P40)</f>
        <v>0</v>
      </c>
      <c r="S40" s="1"/>
      <c r="T40" s="1">
        <v>7.6</v>
      </c>
      <c r="U40" s="1">
        <v>7.5</v>
      </c>
      <c r="V40" s="1">
        <v>7.5</v>
      </c>
      <c r="W40" s="1"/>
      <c r="X40" s="1"/>
      <c r="Y40" s="1"/>
      <c r="Z40" s="2" t="s">
        <v>44</v>
      </c>
      <c r="AA40" s="1">
        <v>7.88</v>
      </c>
      <c r="AB40" s="1">
        <v>7.91</v>
      </c>
      <c r="AC40" s="1">
        <v>8.02</v>
      </c>
      <c r="AD40" s="4">
        <f>AVERAGE(AA40:AC40)</f>
        <v>7.9366666666666665</v>
      </c>
      <c r="AE40" s="4">
        <f>_xlfn.STDEV.P(AA40:AC40)</f>
        <v>6.0184900284225781E-2</v>
      </c>
      <c r="AF40" s="1"/>
      <c r="AG40" s="1">
        <v>9.2899999999999991</v>
      </c>
      <c r="AH40" s="1">
        <v>9.32</v>
      </c>
      <c r="AI40" s="1">
        <v>9.1999999999999993</v>
      </c>
      <c r="AJ40" s="4">
        <f>AVERAGE(AG40:AI40)</f>
        <v>9.27</v>
      </c>
      <c r="AK40" s="4">
        <f>_xlfn.STDEV.P(AG40:AI40)</f>
        <v>5.0990195135928153E-2</v>
      </c>
      <c r="AL40" s="1"/>
      <c r="AM40" s="1">
        <v>6.58</v>
      </c>
      <c r="AN40" s="1">
        <v>6.59</v>
      </c>
      <c r="AO40" s="1">
        <v>6.43</v>
      </c>
      <c r="AP40" s="4">
        <f>AVERAGE(AM40:AO40)</f>
        <v>6.5333333333333341</v>
      </c>
      <c r="AQ40" s="4">
        <f>_xlfn.STDEV.P(AM40:AO40)</f>
        <v>7.3181661333667269E-2</v>
      </c>
      <c r="AR40" s="5"/>
      <c r="AS40" s="1">
        <v>7.08</v>
      </c>
      <c r="AT40" s="1">
        <v>7.36</v>
      </c>
      <c r="AU40" s="1">
        <v>7.15</v>
      </c>
    </row>
    <row r="41" spans="1:47" ht="15.75">
      <c r="A41" s="2" t="s">
        <v>45</v>
      </c>
      <c r="B41" s="1">
        <v>9.1</v>
      </c>
      <c r="C41" s="1">
        <v>8.5</v>
      </c>
      <c r="D41" s="1">
        <v>9</v>
      </c>
      <c r="E41" s="4">
        <f>AVERAGE(B41:D41)</f>
        <v>8.8666666666666671</v>
      </c>
      <c r="F41" s="4">
        <f>_xlfn.STDEV.P(B41:D41)</f>
        <v>0.26246692913372688</v>
      </c>
      <c r="G41" s="1"/>
      <c r="H41" s="1">
        <v>9.1</v>
      </c>
      <c r="I41" s="1">
        <v>9.1999999999999993</v>
      </c>
      <c r="J41" s="1">
        <v>8.8000000000000007</v>
      </c>
      <c r="K41" s="4">
        <f>AVERAGE(H41:J41)</f>
        <v>9.0333333333333332</v>
      </c>
      <c r="L41" s="4">
        <f>_xlfn.STDEV.P(H41:J41)</f>
        <v>0.1699673171197589</v>
      </c>
      <c r="M41" s="1"/>
      <c r="N41" s="1">
        <v>6.7</v>
      </c>
      <c r="O41" s="1">
        <v>6.6</v>
      </c>
      <c r="P41" s="1">
        <v>6.7</v>
      </c>
      <c r="Q41" s="4">
        <f>AVERAGE(N41:P41)</f>
        <v>6.666666666666667</v>
      </c>
      <c r="R41" s="4">
        <f>_xlfn.STDEV.P(N41:P41)</f>
        <v>4.7140452079103425E-2</v>
      </c>
      <c r="S41" s="1"/>
      <c r="T41" s="1">
        <v>7.3</v>
      </c>
      <c r="U41" s="1">
        <v>7.4</v>
      </c>
      <c r="V41" s="1">
        <v>7.4</v>
      </c>
      <c r="W41" s="1"/>
      <c r="X41" s="1"/>
      <c r="Y41" s="1"/>
      <c r="Z41" s="2" t="s">
        <v>45</v>
      </c>
      <c r="AA41" s="1">
        <v>8.32</v>
      </c>
      <c r="AB41" s="1">
        <v>9.2799999999999994</v>
      </c>
      <c r="AC41" s="1">
        <v>7.83</v>
      </c>
      <c r="AD41" s="4">
        <f>AVERAGE(AA41:AC41)</f>
        <v>8.4766666666666666</v>
      </c>
      <c r="AE41" s="4">
        <f>_xlfn.STDEV.P(AA41:AC41)</f>
        <v>0.60223657219475513</v>
      </c>
      <c r="AF41" s="1"/>
      <c r="AG41" s="1">
        <v>9.17</v>
      </c>
      <c r="AH41" s="1">
        <v>9.1999999999999993</v>
      </c>
      <c r="AI41" s="1">
        <v>8.9600000000000009</v>
      </c>
      <c r="AJ41" s="4">
        <f>AVERAGE(AG41:AI41)</f>
        <v>9.11</v>
      </c>
      <c r="AK41" s="4">
        <f>_xlfn.STDEV.P(AG41:AI41)</f>
        <v>0.1067707825203125</v>
      </c>
      <c r="AL41" s="1"/>
      <c r="AM41" s="1">
        <v>6.48</v>
      </c>
      <c r="AN41" s="1">
        <v>6.52</v>
      </c>
      <c r="AO41" s="1">
        <v>6.26</v>
      </c>
      <c r="AP41" s="4">
        <f>AVERAGE(AM41:AO41)</f>
        <v>6.419999999999999</v>
      </c>
      <c r="AQ41" s="4">
        <f>_xlfn.STDEV.P(AM41:AO41)</f>
        <v>0.11430952132988169</v>
      </c>
      <c r="AR41" s="5"/>
      <c r="AS41" s="1">
        <v>7.18</v>
      </c>
      <c r="AT41" s="1">
        <v>7.2</v>
      </c>
      <c r="AU41" s="1">
        <v>7</v>
      </c>
    </row>
    <row r="42" spans="1:47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5"/>
      <c r="AS42" s="1"/>
      <c r="AT42" s="1"/>
      <c r="AU42" s="1"/>
    </row>
    <row r="43" spans="1:4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Li</dc:creator>
  <cp:lastModifiedBy>Ran Li</cp:lastModifiedBy>
  <dcterms:created xsi:type="dcterms:W3CDTF">2026-06-04T18:34:09Z</dcterms:created>
  <dcterms:modified xsi:type="dcterms:W3CDTF">2026-06-04T18:34:37Z</dcterms:modified>
</cp:coreProperties>
</file>